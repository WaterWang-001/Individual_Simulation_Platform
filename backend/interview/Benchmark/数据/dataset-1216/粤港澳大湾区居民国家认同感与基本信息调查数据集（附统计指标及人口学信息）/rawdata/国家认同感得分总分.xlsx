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<sst xmlns="http://schemas.openxmlformats.org/spreadsheetml/2006/main" count="100" uniqueCount="100">
  <si>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题目</t>
  </si>
  <si>
    <t xml:space="preserve">1.你是中国的公民吗？
2是的2
1不是1
</t>
  </si>
  <si>
    <t xml:space="preserve">2.你出生时，你的父母是中国公民吗？
4两人都是中国公民
3只有父亲是中国公民
2只有母亲是中国公民
1父母双方都不是中国公民
</t>
  </si>
  <si>
    <t xml:space="preserve">3.你感觉与你所在的城镇或城市有多亲近？
4非常亲近 
3亲近 
2不是非常亲近 
1根本不亲近 
</t>
  </si>
  <si>
    <t xml:space="preserve">4.你感觉与你所在的省份有多亲近？
4非常亲近 
3亲近 
2不是非常亲近 
1根本不亲近 
</t>
  </si>
  <si>
    <t xml:space="preserve">5.你感觉与你的国家有多亲近？
4非常亲近 
3亲近 
2不是非常亲近 
1根本不亲近 
</t>
  </si>
  <si>
    <t xml:space="preserve">6.你感觉与亚洲大陆有多亲近？
4非常亲近 
3亲近 
2不是非常亲近 
1根本不亲近 
</t>
  </si>
  <si>
    <t xml:space="preserve">7.你认为，对于真正的“中国人身份”，出生于中国有多重要？
4非常重要 
3相当重要  
2不是非常重要 
1根本不重要 
</t>
  </si>
  <si>
    <t xml:space="preserve">8.你认为，对于真正的“中国人身份”，拥有中国国籍有多重要？
4非常重要 
3相当重要  
2不是非常重要 
1根本不重要 
</t>
  </si>
  <si>
    <t xml:space="preserve">9.你认为，对于真正的“中国人身份”，大多数时间是在中国生活有多重要？
4非常重要 
3相当重要  
2不是非常重要 
1根本不重要 
</t>
  </si>
  <si>
    <t xml:space="preserve">10.你认为，对于真正的“中国人身份”，会说中国话有多重要？
4非常重要 
3相当重要  
2不是非常重要 
1根本不重要 
</t>
  </si>
  <si>
    <t xml:space="preserve">11.你认为，对于真正的“中国人身份”，尊重中国的国家机构和法律有多重要？
4非常重要 
3相当重要  
2不是非常重要 
1根本不重要 
</t>
  </si>
  <si>
    <t xml:space="preserve">12.你认为，对于真正的“中国人身份”，感觉到自己的中国人身份有多重要？
4非常重要 
3相当重要  
2不是非常重要 
1根本不重要 
</t>
  </si>
  <si>
    <t xml:space="preserve">13.你认为，对于真正的“中国人身份”，祖先是中国人有多重要？
4非常重要 
3相当重要  
2不是非常重要 
1根本不重要 
</t>
  </si>
  <si>
    <t xml:space="preserve">14.作为中国人，您有多自豪？
5. 非常自豪5
4. 有点自豪4
3. 不是很自豪3
2. 一点也不自豪2
1. 我不是中国人1
</t>
  </si>
  <si>
    <t xml:space="preserve">15.你为中国的民主的运作方式感到骄傲吗？
4很骄傲 
3有点骄傲 
2不是很骄傲 
1一点也不骄傲
</t>
  </si>
  <si>
    <t xml:space="preserve">16.你为中国在世界上的政治影响力感到骄傲吗？
4很骄傲 
3有点骄傲 
2不是很骄傲 
1一点也不骄傲
</t>
  </si>
  <si>
    <t xml:space="preserve">17.你认为现在移民到中国的人数应该是（）
5增加了很多5
4增加了一点4
3保持原样3
2减少了一点2
1减少了很多1
</t>
  </si>
  <si>
    <t xml:space="preserve">18.这些观点中哪一个更接近你自己的观点？
1移民应该保留自己的文化，而不是接受中国的文化。1
2移民既要保留自己的文化，也要接受中国的文化。2
3移民应该放弃自己的文化，接受中国的文化。3
</t>
  </si>
  <si>
    <t xml:space="preserve">19.这些观点中哪一个更接近你自己的观点？
2各群体/民族保持其独特的习俗和传统对社会更有利。2
1各群体/民族最好能适应并融入主流社会。1
</t>
  </si>
  <si>
    <t xml:space="preserve">20.你为中国所取得的经济成就感到骄傲吗？
4很骄傲 
3有点骄傲 
2不是很骄傲 
1一点也不骄傲
</t>
  </si>
  <si>
    <t xml:space="preserve">21.你为中国的社会保障制度感到骄傲吗？
4很骄傲 
3有点骄傲 
2不是很骄傲 
1一点也不骄傲 
</t>
  </si>
  <si>
    <t xml:space="preserve">22.你为中国的科技成果感到骄傲吗？
4很骄傲 
3有点骄傲 
2不是很骄傲 
1一点也不骄傲
</t>
  </si>
  <si>
    <t xml:space="preserve">23.你为中国在体育方面的成就感到骄傲吗？
4很骄傲 
3有点骄傲 
2不是很骄傲 
1一点也不骄傲 
</t>
  </si>
  <si>
    <t xml:space="preserve">24.你为中国在艺术和文学方面的成就感到骄傲吗？
4很骄傲 
3有点骄傲 
2不是很骄傲 
1一点也不骄傲 
</t>
  </si>
  <si>
    <t xml:space="preserve">25.你为中国的军事力量感到骄傲吗？
4很骄傲 
3有点骄傲 
2不是很骄傲 
1一点也不骄傲
</t>
  </si>
  <si>
    <t xml:space="preserve">26.你为中国的历史感到骄傲吗？
4很骄傲 
3有点骄傲 
2不是很骄傲 
1一点也不骄傲 
</t>
  </si>
  <si>
    <t xml:space="preserve">27.你为中国对所有社会群体的公正和平等对待感到骄傲吗？
4很骄傲 
3有点骄傲 
2不是很骄傲 
1一点也不骄傲 
</t>
  </si>
  <si>
    <t xml:space="preserve">28.自由贸易使得中国能够使用更好的产品。
5强烈同意5
4同意4
3既不同意也不反对3
2不同意2
1强烈不同意1
</t>
  </si>
  <si>
    <t xml:space="preserve">29.一般来说，中国是一个比其他大多数国家更好的国家。
5强烈同意
4同意
3既不同意也不反对
2不同意
1强烈不同意
</t>
  </si>
  <si>
    <t xml:space="preserve">30.移民对中国经济发展有益。
5强烈同意
4同意
3既不同意也不反对
2不同意
1强烈不同意
</t>
  </si>
  <si>
    <t xml:space="preserve">31.即使中国错了，国民也应该支持。
5强烈同意
4同意
3既不同意也不反对
2不同意
1强烈不同意
</t>
  </si>
  <si>
    <t xml:space="preserve">32.中国的电视台应优先播放中国的电影和节目。
5强烈同意
4同意
3既不同意也不反对
2不同意
1强烈不同意
</t>
  </si>
  <si>
    <t xml:space="preserve">33.我宁愿成为中国的公民，而不愿成为世界上任何其他国家的公民。
5强烈同意
4同意
3既不同意也不反对
2不同意
1强烈不同意
</t>
  </si>
  <si>
    <t xml:space="preserve">34.对于某些问题，如环境污染，国际机构应该有强制执行的权力。
5强烈同意
4同意
3既不同意也不反对
2不同意
1强烈不同意
</t>
  </si>
  <si>
    <t xml:space="preserve">35.一般来说，中国应遵守其所属国际组织的决定，即使政府不同意这些决定。
5强烈同意
4同意
3既不同意也不反对
2不同意
1强烈不同意
</t>
  </si>
  <si>
    <t xml:space="preserve">36.不应允许外国人在中国购买土地。
5强烈同意
4同意
3既不同意也不反对
2不同意
1强烈不同意
</t>
  </si>
  <si>
    <t xml:space="preserve">37.国民强烈的爱国主义情感导致了对外国移民的消极态度
5强烈同意
4同意
3既不同意也不反对
2不同意
1强烈不同意
</t>
  </si>
  <si>
    <t xml:space="preserve">38.我常常不像我希望的那样为中国感到骄傲。
1强烈同意1
2同意2
3既不同意也不反对3
4不同意4
5强烈不同意5
</t>
  </si>
  <si>
    <t xml:space="preserve">39.如果来自其他国家的人更像中国人，世界将会变得更美好。
5强烈同意
4同意
3既不同意也不反对
2不同意
1强烈不同意
</t>
  </si>
  <si>
    <t xml:space="preserve">40.移民为中国社会带来了新的思想和文化。
5强烈同意
4同意
3既不同意也不反对
2不同意
1强烈不同意
</t>
  </si>
  <si>
    <t xml:space="preserve">41.今天关于中国的一些事情让我为中国感到羞愧。
1强烈同意1
2同意2
3既不同意也不反对3
4不同意4
5强烈不同意5
</t>
  </si>
  <si>
    <t xml:space="preserve">42.当我们国家在国际体育中表现出色时，我为自己是中国人而感到自豪。
5强烈同意
4同意
3既不同意也不反对
2不同意
1强烈不同意
</t>
  </si>
  <si>
    <t xml:space="preserve">43.大型跨国公司对中国企业带来越来越大的危害。
1强烈同意1
2同意2
3既不同意也不反对3
4不同意4
5强烈不同意5
</t>
  </si>
  <si>
    <t xml:space="preserve">44.中国应采取更有力的措施来驱逐非法移民。
5强烈同意
4同意
3既不同意也不反对
2不同意
1强烈不同意
</t>
  </si>
  <si>
    <t xml:space="preserve">45.国民强烈的爱国主义情感导致了国内的狭隘。
1强烈同意1
2同意2
3既不同意也不反对3
4不同意4
5强烈不同意5
</t>
  </si>
  <si>
    <t xml:space="preserve">46.拥有不同习俗和传统的人不可能成为完全的中国人。
1强烈同意1
2同意2
3既不同意也不反对3
4不同意4
5强烈不同意5
</t>
  </si>
  <si>
    <t xml:space="preserve">47.尚未获得中国国籍的合法移民应享有与中国公民同等的权利。
1强烈同意1
2同意2
3既不同意也不反对3
4不同意4
5强烈不同意5
</t>
  </si>
  <si>
    <t xml:space="preserve">48.中国应该维护自己的利益，即使这会导致与其他国家的冲突。
5强烈同意
4同意
3既不同意也不反对
2不同意
1强烈不同意
</t>
  </si>
  <si>
    <t xml:space="preserve">49.国民强烈的爱国主义情感提高了中国在世界上的地位
5强烈同意
4同意
3既不同意也不反对
2不同意
1强烈不同意
</t>
  </si>
  <si>
    <t xml:space="preserve">50.我觉得自己更像是世界公民，而不是任何国家的公民。
1强烈同意1
2同意2
3既不同意也不反对3
4不同意4
5强烈不同意5
</t>
  </si>
  <si>
    <t xml:space="preserve">51.中国文化一般不是由移民决定的。
5强烈同意
4同意
3既不同意也不反对
2不同意
1强烈不同意
</t>
  </si>
  <si>
    <t xml:space="preserve">52.合法移民应该和中国公民一样享有接受公共教育的平等机会。
5强烈同意
4同意
3既不同意也不反对
2不同意
1强烈不同意
</t>
  </si>
  <si>
    <t xml:space="preserve">53.国际组织从中国政府手中夺走了太多权力。
5强烈同意
4同意
3既不同意也不反对
2不同意
1强烈不同意
</t>
  </si>
  <si>
    <t xml:space="preserve">54.中国应限制外国产品的进口，以保护本国经济。
5强烈同意
4同意
3既不同意也不反对
2不同意
1强烈不同意
</t>
  </si>
  <si>
    <t xml:space="preserve">55.政府应向少数民族提供援助，以保护他们的习俗和传统。
5强烈同意
4同意
3既不同意也不反对
2不同意
1强烈不同意
</t>
  </si>
  <si>
    <t xml:space="preserve">56.如果我们承认中国的的缺点，世界将会变得更美好。
5强烈同意
4同意
3既不同意也不反对
2不同意
1强烈不同意
</t>
  </si>
  <si>
    <t xml:space="preserve">57.外来移民抢走了本该属于中国人的工作。
1强烈同意1
2同意2
3既不同意也不反对3
4不同意4
5强烈不同意5
</t>
  </si>
  <si>
    <t xml:space="preserve">58.移民增加了犯罪率。
5强烈同意
4同意
3既不同意也不反对
2不同意
1强烈不同意
</t>
  </si>
  <si>
    <t xml:space="preserve">59.国民强烈的爱国主义情感是中国保持统一所必需的。
5强烈同意
4同意
3既不同意也不反对
2不同意
1强烈不同意
</t>
  </si>
  <si>
    <t>总分</t>
  </si>
  <si>
    <t>平均分</t>
  </si>
  <si>
    <t>十分制得分</t>
  </si>
  <si>
    <t>十分制得分（两位小数）</t>
  </si>
  <si>
    <t>标准差</t>
  </si>
  <si>
    <t>YA01</t>
  </si>
  <si>
    <t>YA02</t>
  </si>
  <si>
    <t>YB01</t>
  </si>
  <si>
    <t>YB02</t>
  </si>
  <si>
    <t>YC01</t>
  </si>
  <si>
    <t>YC02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</si>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</sst>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新宋体"/>
      <charset val="134"/>
    </font>
    <font>
      <b/>
      <sz val="16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Microsoft JhengHei"/>
      <charset val="136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b/>
      <sz val="11"/>
      <color theme="1"/>
      <name val="等线"/>
      <charset val="136"/>
      <scheme val="minor"/>
    </font>
    <font>
      <sz val="48"/>
      <color theme="1"/>
      <name val="等线"/>
      <charset val="134"/>
      <scheme val="minor"/>
    </font>
    <font>
      <sz val="3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3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4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2" borderId="4" applyNumberFormat="0" applyAlignment="0" applyProtection="0">
      <alignment vertical="center"/>
    </xf>
    <xf numFmtId="0" fontId="28" fillId="13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/>
    <xf numFmtId="0" fontId="1" fillId="7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ont="1" applyFill="1" applyAlignment="1">
      <alignment vertic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vertical="center"/>
    </xf>
    <xf numFmtId="0" fontId="5" fillId="4" borderId="0" xfId="0" applyFont="1" applyFill="1" applyAlignment="1">
      <alignment horizont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13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6"/>
  <sheetViews>
    <sheetView tabSelected="1" zoomScale="65" zoomScaleNormal="65" topLeftCell="BE8" workbookViewId="0">
      <selection activeCell="BM28" sqref="BM28:BM36"/>
    </sheetView>
  </sheetViews>
  <sheetFormatPr defaultColWidth="29.5555555555556" defaultRowHeight="13.8"/>
  <cols>
    <col min="1" max="1" width="29.5555555555556" style="4"/>
    <col min="61" max="61" width="29.5555555555556" style="5"/>
    <col min="63" max="63" width="29.5555555555556" style="5"/>
    <col min="64" max="64" width="29.5555555555556" style="6"/>
  </cols>
  <sheetData>
    <row r="1" ht="180" customHeight="1" spans="1:6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9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24" t="s">
        <v>14</v>
      </c>
      <c r="P1" s="10" t="s">
        <v>15</v>
      </c>
      <c r="Q1" s="10" t="s">
        <v>16</v>
      </c>
      <c r="R1" s="25" t="s">
        <v>17</v>
      </c>
      <c r="S1" s="26" t="s">
        <v>18</v>
      </c>
      <c r="T1" s="27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6" t="s">
        <v>38</v>
      </c>
      <c r="AN1" s="24" t="s">
        <v>39</v>
      </c>
      <c r="AO1" s="24" t="s">
        <v>40</v>
      </c>
      <c r="AP1" s="26" t="s">
        <v>41</v>
      </c>
      <c r="AQ1" s="24" t="s">
        <v>42</v>
      </c>
      <c r="AR1" s="26" t="s">
        <v>43</v>
      </c>
      <c r="AS1" s="24" t="s">
        <v>44</v>
      </c>
      <c r="AT1" s="26" t="s">
        <v>45</v>
      </c>
      <c r="AU1" s="26" t="s">
        <v>46</v>
      </c>
      <c r="AV1" s="26" t="s">
        <v>47</v>
      </c>
      <c r="AW1" s="24" t="s">
        <v>48</v>
      </c>
      <c r="AX1" s="24" t="s">
        <v>49</v>
      </c>
      <c r="AY1" s="26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6" t="s">
        <v>57</v>
      </c>
      <c r="BG1" s="24" t="s">
        <v>58</v>
      </c>
      <c r="BH1" s="24" t="s">
        <v>59</v>
      </c>
      <c r="BI1" s="29" t="s">
        <v>60</v>
      </c>
      <c r="BJ1" s="30" t="s">
        <v>61</v>
      </c>
      <c r="BK1" s="31" t="s">
        <v>62</v>
      </c>
      <c r="BL1" s="32" t="s">
        <v>63</v>
      </c>
      <c r="BM1" s="33" t="s">
        <v>64</v>
      </c>
    </row>
    <row r="2" s="1" customFormat="1" ht="20.4" spans="1:64">
      <c r="A2" s="12" t="s">
        <v>65</v>
      </c>
      <c r="B2" s="13">
        <v>2</v>
      </c>
      <c r="C2" s="13">
        <v>4</v>
      </c>
      <c r="D2" s="13">
        <v>3</v>
      </c>
      <c r="E2" s="13">
        <v>2</v>
      </c>
      <c r="F2" s="13">
        <v>3</v>
      </c>
      <c r="G2" s="13">
        <v>2</v>
      </c>
      <c r="H2" s="13">
        <v>2</v>
      </c>
      <c r="I2" s="13">
        <v>3</v>
      </c>
      <c r="J2" s="13">
        <v>2</v>
      </c>
      <c r="K2" s="13">
        <v>2</v>
      </c>
      <c r="L2" s="13">
        <v>4</v>
      </c>
      <c r="M2" s="13">
        <v>4</v>
      </c>
      <c r="N2" s="13">
        <v>3</v>
      </c>
      <c r="O2" s="13">
        <v>5</v>
      </c>
      <c r="P2" s="13">
        <v>4</v>
      </c>
      <c r="Q2" s="13">
        <v>4</v>
      </c>
      <c r="R2" s="13">
        <v>4</v>
      </c>
      <c r="S2" s="13">
        <v>2</v>
      </c>
      <c r="T2" s="13">
        <v>1</v>
      </c>
      <c r="U2" s="13">
        <v>4</v>
      </c>
      <c r="V2" s="13">
        <v>4</v>
      </c>
      <c r="W2" s="13">
        <v>4</v>
      </c>
      <c r="X2" s="13">
        <v>4</v>
      </c>
      <c r="Y2" s="13">
        <v>4</v>
      </c>
      <c r="Z2" s="13">
        <v>4</v>
      </c>
      <c r="AA2" s="13">
        <v>4</v>
      </c>
      <c r="AB2" s="13">
        <v>3</v>
      </c>
      <c r="AC2" s="13">
        <v>4</v>
      </c>
      <c r="AD2" s="13">
        <v>5</v>
      </c>
      <c r="AE2" s="13">
        <v>3</v>
      </c>
      <c r="AF2" s="13">
        <v>3</v>
      </c>
      <c r="AG2" s="13">
        <v>4</v>
      </c>
      <c r="AH2" s="13">
        <v>4</v>
      </c>
      <c r="AI2" s="13">
        <v>4</v>
      </c>
      <c r="AJ2" s="13">
        <v>3</v>
      </c>
      <c r="AK2" s="13">
        <v>3</v>
      </c>
      <c r="AL2" s="13">
        <v>3</v>
      </c>
      <c r="AM2" s="13">
        <v>4</v>
      </c>
      <c r="AN2" s="13">
        <v>4</v>
      </c>
      <c r="AO2" s="13">
        <v>4</v>
      </c>
      <c r="AP2" s="13">
        <v>3</v>
      </c>
      <c r="AQ2" s="13">
        <v>5</v>
      </c>
      <c r="AR2" s="13">
        <v>3</v>
      </c>
      <c r="AS2" s="13">
        <v>4</v>
      </c>
      <c r="AT2" s="13">
        <v>4</v>
      </c>
      <c r="AU2" s="13">
        <v>4</v>
      </c>
      <c r="AV2" s="13">
        <v>3</v>
      </c>
      <c r="AW2" s="13">
        <v>4</v>
      </c>
      <c r="AX2" s="13">
        <v>3</v>
      </c>
      <c r="AY2" s="13">
        <v>4</v>
      </c>
      <c r="AZ2" s="13">
        <v>4</v>
      </c>
      <c r="BA2" s="13">
        <v>4</v>
      </c>
      <c r="BB2" s="13">
        <v>3</v>
      </c>
      <c r="BC2" s="13">
        <v>3</v>
      </c>
      <c r="BD2" s="13">
        <v>4</v>
      </c>
      <c r="BE2" s="13">
        <v>4</v>
      </c>
      <c r="BF2" s="13">
        <v>2</v>
      </c>
      <c r="BG2" s="13">
        <v>3</v>
      </c>
      <c r="BH2" s="13">
        <v>5</v>
      </c>
      <c r="BI2" s="5">
        <f>SUM(B2:BH2)</f>
        <v>204</v>
      </c>
      <c r="BK2" s="5">
        <f>BI2:BI36/265*10</f>
        <v>7.69811320754717</v>
      </c>
      <c r="BL2" s="6">
        <f>ROUND(BK2,2)</f>
        <v>7.7</v>
      </c>
    </row>
    <row r="3" s="1" customFormat="1" ht="20.4" spans="1:64">
      <c r="A3" s="12" t="s">
        <v>66</v>
      </c>
      <c r="B3" s="13">
        <v>2</v>
      </c>
      <c r="C3" s="13">
        <v>4</v>
      </c>
      <c r="D3" s="13">
        <v>4</v>
      </c>
      <c r="E3" s="13">
        <v>4</v>
      </c>
      <c r="F3" s="13">
        <v>4</v>
      </c>
      <c r="G3" s="13">
        <v>3</v>
      </c>
      <c r="H3" s="13">
        <v>2</v>
      </c>
      <c r="I3" s="13">
        <v>3</v>
      </c>
      <c r="J3" s="13">
        <v>2</v>
      </c>
      <c r="K3" s="13">
        <v>4</v>
      </c>
      <c r="L3" s="13">
        <v>4</v>
      </c>
      <c r="M3" s="13">
        <v>4</v>
      </c>
      <c r="N3" s="13">
        <v>4</v>
      </c>
      <c r="O3" s="13">
        <v>5</v>
      </c>
      <c r="P3" s="13">
        <v>4</v>
      </c>
      <c r="Q3" s="13">
        <v>4</v>
      </c>
      <c r="R3" s="13">
        <v>4</v>
      </c>
      <c r="S3" s="13">
        <v>2</v>
      </c>
      <c r="T3" s="13">
        <v>2</v>
      </c>
      <c r="U3" s="13">
        <v>3</v>
      </c>
      <c r="V3" s="13">
        <v>3</v>
      </c>
      <c r="W3" s="13">
        <v>4</v>
      </c>
      <c r="X3" s="13">
        <v>2</v>
      </c>
      <c r="Y3" s="13">
        <v>3</v>
      </c>
      <c r="Z3" s="13">
        <v>3</v>
      </c>
      <c r="AA3" s="13">
        <v>4</v>
      </c>
      <c r="AB3" s="13">
        <v>2</v>
      </c>
      <c r="AC3" s="13">
        <v>3</v>
      </c>
      <c r="AD3" s="13">
        <v>5</v>
      </c>
      <c r="AE3" s="13">
        <v>5</v>
      </c>
      <c r="AF3" s="13">
        <v>5</v>
      </c>
      <c r="AG3" s="13">
        <v>4</v>
      </c>
      <c r="AH3" s="13">
        <v>4</v>
      </c>
      <c r="AI3" s="13">
        <v>3</v>
      </c>
      <c r="AJ3" s="13">
        <v>3</v>
      </c>
      <c r="AK3" s="13">
        <v>5</v>
      </c>
      <c r="AL3" s="13">
        <v>3</v>
      </c>
      <c r="AM3" s="13">
        <v>4</v>
      </c>
      <c r="AN3" s="13">
        <v>4</v>
      </c>
      <c r="AO3" s="13">
        <v>4</v>
      </c>
      <c r="AP3" s="13">
        <v>2</v>
      </c>
      <c r="AQ3" s="13">
        <v>5</v>
      </c>
      <c r="AR3" s="13">
        <v>4</v>
      </c>
      <c r="AS3" s="13">
        <v>5</v>
      </c>
      <c r="AT3" s="13">
        <v>4</v>
      </c>
      <c r="AU3" s="13">
        <v>5</v>
      </c>
      <c r="AV3" s="13">
        <v>3</v>
      </c>
      <c r="AW3" s="13">
        <v>4</v>
      </c>
      <c r="AX3" s="13">
        <v>4</v>
      </c>
      <c r="AY3" s="13">
        <v>4</v>
      </c>
      <c r="AZ3" s="13">
        <v>4</v>
      </c>
      <c r="BA3" s="13">
        <v>2</v>
      </c>
      <c r="BB3" s="13">
        <v>4</v>
      </c>
      <c r="BC3" s="13">
        <v>4</v>
      </c>
      <c r="BD3" s="13">
        <v>4</v>
      </c>
      <c r="BE3" s="13">
        <v>4</v>
      </c>
      <c r="BF3" s="13">
        <v>2</v>
      </c>
      <c r="BG3" s="13">
        <v>5</v>
      </c>
      <c r="BH3" s="13">
        <v>5</v>
      </c>
      <c r="BI3" s="5">
        <f t="shared" ref="BI3:BI36" si="0">SUM(B3:BH3)</f>
        <v>215</v>
      </c>
      <c r="BK3" s="5">
        <f>BI3:BI37/265*10</f>
        <v>8.11320754716981</v>
      </c>
      <c r="BL3" s="6">
        <f t="shared" ref="BL3:BL36" si="1">ROUND(BK3,2)</f>
        <v>8.11</v>
      </c>
    </row>
    <row r="4" s="2" customFormat="1" ht="20.4" spans="1:64">
      <c r="A4" s="14" t="s">
        <v>67</v>
      </c>
      <c r="B4" s="15">
        <v>2</v>
      </c>
      <c r="C4" s="15">
        <v>1</v>
      </c>
      <c r="D4" s="15">
        <v>4</v>
      </c>
      <c r="E4" s="15">
        <v>4</v>
      </c>
      <c r="F4" s="15">
        <v>4</v>
      </c>
      <c r="G4" s="15">
        <v>2</v>
      </c>
      <c r="H4" s="15">
        <v>2</v>
      </c>
      <c r="I4" s="15">
        <v>1</v>
      </c>
      <c r="J4" s="15">
        <v>1</v>
      </c>
      <c r="K4" s="15">
        <v>4</v>
      </c>
      <c r="L4" s="15">
        <v>1</v>
      </c>
      <c r="M4" s="15">
        <v>2</v>
      </c>
      <c r="N4" s="15">
        <v>3</v>
      </c>
      <c r="O4" s="15">
        <v>2</v>
      </c>
      <c r="P4" s="15"/>
      <c r="Q4" s="15">
        <v>1</v>
      </c>
      <c r="R4" s="15">
        <v>2</v>
      </c>
      <c r="S4" s="15">
        <v>2</v>
      </c>
      <c r="T4" s="15">
        <v>2</v>
      </c>
      <c r="U4" s="15">
        <v>3</v>
      </c>
      <c r="V4" s="15">
        <v>1</v>
      </c>
      <c r="W4" s="15">
        <v>2</v>
      </c>
      <c r="X4" s="15">
        <v>3</v>
      </c>
      <c r="Y4" s="15">
        <v>3</v>
      </c>
      <c r="Z4" s="15">
        <v>1</v>
      </c>
      <c r="AA4" s="15">
        <v>3</v>
      </c>
      <c r="AB4" s="15">
        <v>1</v>
      </c>
      <c r="AC4" s="15">
        <v>3</v>
      </c>
      <c r="AD4" s="15">
        <v>1</v>
      </c>
      <c r="AE4" s="15">
        <v>3</v>
      </c>
      <c r="AF4" s="15">
        <v>1</v>
      </c>
      <c r="AG4" s="15">
        <v>2</v>
      </c>
      <c r="AH4" s="15">
        <v>1</v>
      </c>
      <c r="AI4" s="15">
        <v>4</v>
      </c>
      <c r="AJ4" s="15">
        <v>4</v>
      </c>
      <c r="AK4" s="15">
        <v>1</v>
      </c>
      <c r="AL4" s="15">
        <v>1</v>
      </c>
      <c r="AM4" s="15">
        <v>1</v>
      </c>
      <c r="AN4" s="15">
        <v>3</v>
      </c>
      <c r="AO4" s="15">
        <v>4</v>
      </c>
      <c r="AP4" s="15">
        <v>1</v>
      </c>
      <c r="AQ4" s="15">
        <v>3</v>
      </c>
      <c r="AR4" s="15">
        <v>4</v>
      </c>
      <c r="AS4" s="15">
        <v>4</v>
      </c>
      <c r="AT4" s="15">
        <v>1</v>
      </c>
      <c r="AU4" s="15">
        <v>5</v>
      </c>
      <c r="AV4" s="15">
        <v>5</v>
      </c>
      <c r="AW4" s="15">
        <v>3</v>
      </c>
      <c r="AX4" s="15">
        <v>2</v>
      </c>
      <c r="AY4" s="15">
        <v>3</v>
      </c>
      <c r="AZ4" s="15">
        <v>5</v>
      </c>
      <c r="BA4" s="15">
        <v>3</v>
      </c>
      <c r="BB4" s="15">
        <v>1</v>
      </c>
      <c r="BC4" s="15">
        <v>2</v>
      </c>
      <c r="BD4" s="15">
        <v>5</v>
      </c>
      <c r="BE4" s="15">
        <v>5</v>
      </c>
      <c r="BF4" s="15">
        <v>5</v>
      </c>
      <c r="BG4" s="15">
        <v>1</v>
      </c>
      <c r="BH4" s="15">
        <v>1</v>
      </c>
      <c r="BI4" s="5">
        <f t="shared" si="0"/>
        <v>145</v>
      </c>
      <c r="BK4" s="5">
        <f t="shared" ref="BK4:BK36" si="2">BI4:BI38/265*10</f>
        <v>5.47169811320755</v>
      </c>
      <c r="BL4" s="6">
        <f t="shared" si="1"/>
        <v>5.47</v>
      </c>
    </row>
    <row r="5" s="2" customFormat="1" ht="20.4" spans="1:64">
      <c r="A5" s="14" t="s">
        <v>68</v>
      </c>
      <c r="B5" s="15">
        <v>2</v>
      </c>
      <c r="C5" s="15">
        <v>4</v>
      </c>
      <c r="D5" s="15">
        <v>3</v>
      </c>
      <c r="E5" s="15">
        <v>2</v>
      </c>
      <c r="F5" s="15">
        <v>2</v>
      </c>
      <c r="G5" s="15">
        <v>2</v>
      </c>
      <c r="H5" s="15">
        <v>3</v>
      </c>
      <c r="I5" s="15">
        <v>3</v>
      </c>
      <c r="J5" s="15">
        <v>4</v>
      </c>
      <c r="K5" s="15">
        <v>3</v>
      </c>
      <c r="L5" s="15">
        <v>3</v>
      </c>
      <c r="M5" s="15">
        <v>4</v>
      </c>
      <c r="N5" s="15">
        <v>2</v>
      </c>
      <c r="O5" s="15">
        <v>4</v>
      </c>
      <c r="P5" s="15">
        <v>3</v>
      </c>
      <c r="Q5" s="15">
        <v>3</v>
      </c>
      <c r="R5" s="15">
        <v>4</v>
      </c>
      <c r="S5" s="15">
        <v>2</v>
      </c>
      <c r="T5" s="15">
        <v>2</v>
      </c>
      <c r="U5" s="15">
        <v>3</v>
      </c>
      <c r="V5" s="15">
        <v>3</v>
      </c>
      <c r="W5" s="15">
        <v>4</v>
      </c>
      <c r="X5" s="15">
        <v>4</v>
      </c>
      <c r="Y5" s="15">
        <v>3</v>
      </c>
      <c r="Z5" s="15">
        <v>4</v>
      </c>
      <c r="AA5" s="15">
        <v>2</v>
      </c>
      <c r="AB5" s="15">
        <v>2</v>
      </c>
      <c r="AC5" s="15">
        <v>4</v>
      </c>
      <c r="AD5" s="15">
        <v>4</v>
      </c>
      <c r="AE5" s="15">
        <v>3</v>
      </c>
      <c r="AF5" s="15">
        <v>3</v>
      </c>
      <c r="AG5" s="15">
        <v>3</v>
      </c>
      <c r="AH5" s="15">
        <v>4</v>
      </c>
      <c r="AI5" s="15">
        <v>4</v>
      </c>
      <c r="AJ5" s="15">
        <v>3</v>
      </c>
      <c r="AK5" s="15">
        <v>3</v>
      </c>
      <c r="AL5" s="15">
        <v>3</v>
      </c>
      <c r="AM5" s="15">
        <v>4</v>
      </c>
      <c r="AN5" s="15">
        <v>3</v>
      </c>
      <c r="AO5" s="15">
        <v>4</v>
      </c>
      <c r="AP5" s="15">
        <v>3</v>
      </c>
      <c r="AQ5" s="15">
        <v>5</v>
      </c>
      <c r="AR5" s="15">
        <v>2</v>
      </c>
      <c r="AS5" s="15">
        <v>4</v>
      </c>
      <c r="AT5" s="15">
        <v>2</v>
      </c>
      <c r="AU5" s="15">
        <v>4</v>
      </c>
      <c r="AV5" s="15">
        <v>3</v>
      </c>
      <c r="AW5" s="15">
        <v>4</v>
      </c>
      <c r="AX5" s="15">
        <v>4</v>
      </c>
      <c r="AY5" s="15">
        <v>3</v>
      </c>
      <c r="AZ5" s="15">
        <v>3</v>
      </c>
      <c r="BA5" s="15">
        <v>4</v>
      </c>
      <c r="BB5" s="15">
        <v>3</v>
      </c>
      <c r="BC5" s="15">
        <v>2</v>
      </c>
      <c r="BD5" s="15">
        <v>5</v>
      </c>
      <c r="BE5" s="15">
        <v>4</v>
      </c>
      <c r="BF5" s="15">
        <v>3</v>
      </c>
      <c r="BG5" s="15">
        <v>3</v>
      </c>
      <c r="BH5" s="15">
        <v>4</v>
      </c>
      <c r="BI5" s="5">
        <f t="shared" si="0"/>
        <v>190</v>
      </c>
      <c r="BK5" s="5">
        <f t="shared" si="2"/>
        <v>7.16981132075472</v>
      </c>
      <c r="BL5" s="6">
        <f t="shared" si="1"/>
        <v>7.17</v>
      </c>
    </row>
    <row r="6" s="3" customFormat="1" ht="20.4" spans="1:64">
      <c r="A6" s="16" t="s">
        <v>69</v>
      </c>
      <c r="B6" s="17">
        <v>2</v>
      </c>
      <c r="C6" s="17">
        <v>4</v>
      </c>
      <c r="D6" s="17">
        <v>4</v>
      </c>
      <c r="E6" s="17">
        <v>4</v>
      </c>
      <c r="F6" s="17">
        <v>4</v>
      </c>
      <c r="G6" s="17">
        <v>3</v>
      </c>
      <c r="H6" s="17">
        <v>4</v>
      </c>
      <c r="I6" s="17">
        <v>3</v>
      </c>
      <c r="J6" s="17">
        <v>4</v>
      </c>
      <c r="K6" s="17">
        <v>4</v>
      </c>
      <c r="L6" s="17">
        <v>4</v>
      </c>
      <c r="M6" s="17">
        <v>4</v>
      </c>
      <c r="N6" s="17">
        <v>4</v>
      </c>
      <c r="O6" s="17">
        <v>5</v>
      </c>
      <c r="P6" s="17">
        <v>4</v>
      </c>
      <c r="Q6" s="17">
        <v>3</v>
      </c>
      <c r="R6" s="17">
        <v>3</v>
      </c>
      <c r="S6" s="17">
        <v>2</v>
      </c>
      <c r="T6" s="17">
        <v>2</v>
      </c>
      <c r="U6" s="17">
        <v>3</v>
      </c>
      <c r="V6" s="17">
        <v>4</v>
      </c>
      <c r="W6" s="17">
        <v>4</v>
      </c>
      <c r="X6" s="17">
        <v>2</v>
      </c>
      <c r="Y6" s="17">
        <v>3</v>
      </c>
      <c r="Z6" s="17">
        <v>4</v>
      </c>
      <c r="AA6" s="17">
        <v>2</v>
      </c>
      <c r="AB6" s="17">
        <v>3</v>
      </c>
      <c r="AC6" s="17">
        <v>4</v>
      </c>
      <c r="AD6" s="17">
        <v>5</v>
      </c>
      <c r="AE6" s="17">
        <v>5</v>
      </c>
      <c r="AF6" s="17">
        <v>1</v>
      </c>
      <c r="AG6" s="17">
        <v>3</v>
      </c>
      <c r="AH6" s="17">
        <v>2</v>
      </c>
      <c r="AI6" s="17">
        <v>4</v>
      </c>
      <c r="AJ6" s="17">
        <v>4</v>
      </c>
      <c r="AK6" s="17">
        <v>5</v>
      </c>
      <c r="AL6" s="17">
        <v>4</v>
      </c>
      <c r="AM6" s="17">
        <v>1</v>
      </c>
      <c r="AN6" s="17">
        <v>2</v>
      </c>
      <c r="AO6" s="17">
        <v>3</v>
      </c>
      <c r="AP6" s="17">
        <v>3</v>
      </c>
      <c r="AQ6" s="17">
        <v>5</v>
      </c>
      <c r="AR6" s="17">
        <v>3</v>
      </c>
      <c r="AS6" s="17">
        <v>3</v>
      </c>
      <c r="AT6" s="17">
        <v>1</v>
      </c>
      <c r="AU6" s="17">
        <v>5</v>
      </c>
      <c r="AV6" s="17">
        <v>3</v>
      </c>
      <c r="AW6" s="17">
        <v>3</v>
      </c>
      <c r="AX6" s="17">
        <v>3</v>
      </c>
      <c r="AY6" s="17">
        <v>3</v>
      </c>
      <c r="AZ6" s="17">
        <v>3</v>
      </c>
      <c r="BA6" s="17">
        <v>3</v>
      </c>
      <c r="BB6" s="17">
        <v>4</v>
      </c>
      <c r="BC6" s="17">
        <v>2</v>
      </c>
      <c r="BD6" s="17">
        <v>3</v>
      </c>
      <c r="BE6" s="17">
        <v>3</v>
      </c>
      <c r="BF6" s="17">
        <v>4</v>
      </c>
      <c r="BG6" s="17">
        <v>3</v>
      </c>
      <c r="BH6" s="17">
        <v>5</v>
      </c>
      <c r="BI6" s="5">
        <f t="shared" si="0"/>
        <v>197</v>
      </c>
      <c r="BK6" s="5">
        <f t="shared" si="2"/>
        <v>7.43396226415094</v>
      </c>
      <c r="BL6" s="6">
        <f t="shared" si="1"/>
        <v>7.43</v>
      </c>
    </row>
    <row r="7" s="3" customFormat="1" ht="20.4" spans="1:64">
      <c r="A7" s="16" t="s">
        <v>70</v>
      </c>
      <c r="B7" s="18">
        <v>2</v>
      </c>
      <c r="C7" s="18">
        <v>4</v>
      </c>
      <c r="D7" s="18">
        <v>3</v>
      </c>
      <c r="E7" s="18">
        <v>2</v>
      </c>
      <c r="F7" s="18">
        <v>3</v>
      </c>
      <c r="G7" s="18">
        <v>3</v>
      </c>
      <c r="H7" s="18">
        <v>2</v>
      </c>
      <c r="I7" s="18">
        <v>4</v>
      </c>
      <c r="J7" s="18">
        <v>4</v>
      </c>
      <c r="K7" s="18">
        <v>4</v>
      </c>
      <c r="L7" s="18">
        <v>4</v>
      </c>
      <c r="M7" s="18">
        <v>4</v>
      </c>
      <c r="N7" s="18">
        <v>2</v>
      </c>
      <c r="O7" s="18">
        <v>4</v>
      </c>
      <c r="P7" s="18">
        <v>3</v>
      </c>
      <c r="Q7" s="18">
        <v>3</v>
      </c>
      <c r="R7" s="18">
        <v>5</v>
      </c>
      <c r="S7" s="18">
        <v>2</v>
      </c>
      <c r="T7" s="18">
        <v>1</v>
      </c>
      <c r="U7" s="18">
        <v>3</v>
      </c>
      <c r="V7" s="18">
        <v>2</v>
      </c>
      <c r="W7" s="18">
        <v>3</v>
      </c>
      <c r="X7" s="18">
        <v>3</v>
      </c>
      <c r="Y7" s="18">
        <v>3</v>
      </c>
      <c r="Z7" s="18">
        <v>3</v>
      </c>
      <c r="AA7" s="18">
        <v>4</v>
      </c>
      <c r="AB7" s="18">
        <v>3</v>
      </c>
      <c r="AC7" s="18">
        <v>3</v>
      </c>
      <c r="AD7" s="18">
        <v>3</v>
      </c>
      <c r="AE7" s="18">
        <v>3</v>
      </c>
      <c r="AF7" s="18">
        <v>3</v>
      </c>
      <c r="AG7" s="18">
        <v>4</v>
      </c>
      <c r="AH7" s="18">
        <v>3</v>
      </c>
      <c r="AI7" s="18">
        <v>5</v>
      </c>
      <c r="AJ7" s="18">
        <v>3</v>
      </c>
      <c r="AK7" s="18">
        <v>3</v>
      </c>
      <c r="AL7" s="18">
        <v>3</v>
      </c>
      <c r="AM7" s="18">
        <v>3</v>
      </c>
      <c r="AN7" s="18">
        <v>3</v>
      </c>
      <c r="AO7" s="18">
        <v>5</v>
      </c>
      <c r="AP7" s="18">
        <v>3</v>
      </c>
      <c r="AQ7" s="18">
        <v>3</v>
      </c>
      <c r="AR7" s="18">
        <v>4</v>
      </c>
      <c r="AS7" s="18">
        <v>3</v>
      </c>
      <c r="AT7" s="18">
        <v>3</v>
      </c>
      <c r="AU7" s="18">
        <v>3</v>
      </c>
      <c r="AV7" s="18">
        <v>4</v>
      </c>
      <c r="AW7" s="18">
        <v>3</v>
      </c>
      <c r="AX7" s="18">
        <v>3</v>
      </c>
      <c r="AY7" s="18">
        <v>4</v>
      </c>
      <c r="AZ7" s="18">
        <v>4</v>
      </c>
      <c r="BA7" s="18">
        <v>3</v>
      </c>
      <c r="BB7" s="18">
        <v>3</v>
      </c>
      <c r="BC7" s="18">
        <v>3</v>
      </c>
      <c r="BD7" s="18">
        <v>4</v>
      </c>
      <c r="BE7" s="18">
        <v>3</v>
      </c>
      <c r="BF7" s="18">
        <v>3</v>
      </c>
      <c r="BG7" s="18">
        <v>3</v>
      </c>
      <c r="BH7" s="18">
        <v>4</v>
      </c>
      <c r="BI7" s="5">
        <f t="shared" si="0"/>
        <v>190</v>
      </c>
      <c r="BK7" s="5">
        <f t="shared" si="2"/>
        <v>7.16981132075472</v>
      </c>
      <c r="BL7" s="6">
        <f t="shared" si="1"/>
        <v>7.17</v>
      </c>
    </row>
    <row r="8" s="1" customFormat="1" ht="20.4" spans="1:65">
      <c r="A8" s="12" t="s">
        <v>71</v>
      </c>
      <c r="B8" s="13">
        <v>2</v>
      </c>
      <c r="C8" s="13">
        <v>4</v>
      </c>
      <c r="D8" s="13">
        <v>4</v>
      </c>
      <c r="E8" s="13">
        <v>4</v>
      </c>
      <c r="F8" s="13">
        <v>4</v>
      </c>
      <c r="G8" s="13">
        <v>4</v>
      </c>
      <c r="H8" s="13">
        <v>4</v>
      </c>
      <c r="I8" s="13">
        <v>4</v>
      </c>
      <c r="J8" s="13">
        <v>3</v>
      </c>
      <c r="K8" s="13">
        <v>4</v>
      </c>
      <c r="L8" s="13">
        <v>4</v>
      </c>
      <c r="M8" s="13">
        <v>4</v>
      </c>
      <c r="N8" s="13">
        <v>2</v>
      </c>
      <c r="O8" s="13">
        <v>5</v>
      </c>
      <c r="P8" s="13">
        <v>4</v>
      </c>
      <c r="Q8" s="13">
        <v>4</v>
      </c>
      <c r="R8" s="13">
        <v>4</v>
      </c>
      <c r="S8" s="13">
        <v>2</v>
      </c>
      <c r="T8" s="13">
        <v>2</v>
      </c>
      <c r="U8" s="13">
        <v>4</v>
      </c>
      <c r="V8" s="13">
        <v>4</v>
      </c>
      <c r="W8" s="13">
        <v>4</v>
      </c>
      <c r="X8" s="13">
        <v>3</v>
      </c>
      <c r="Y8" s="13">
        <v>3</v>
      </c>
      <c r="Z8" s="13">
        <v>4</v>
      </c>
      <c r="AA8" s="13">
        <v>4</v>
      </c>
      <c r="AB8" s="13">
        <v>4</v>
      </c>
      <c r="AC8" s="13">
        <v>5</v>
      </c>
      <c r="AD8" s="13">
        <v>5</v>
      </c>
      <c r="AE8" s="13">
        <v>4</v>
      </c>
      <c r="AF8" s="13">
        <v>1</v>
      </c>
      <c r="AG8" s="13">
        <v>3</v>
      </c>
      <c r="AH8" s="13">
        <v>4</v>
      </c>
      <c r="AI8" s="13">
        <v>5</v>
      </c>
      <c r="AJ8" s="13">
        <v>3</v>
      </c>
      <c r="AK8" s="13">
        <v>2</v>
      </c>
      <c r="AL8" s="13">
        <v>4</v>
      </c>
      <c r="AM8" s="13">
        <v>4</v>
      </c>
      <c r="AN8" s="13">
        <v>2</v>
      </c>
      <c r="AO8" s="13">
        <v>4</v>
      </c>
      <c r="AP8" s="13">
        <v>2</v>
      </c>
      <c r="AQ8" s="13">
        <v>5</v>
      </c>
      <c r="AR8" s="13">
        <v>4</v>
      </c>
      <c r="AS8" s="13">
        <v>5</v>
      </c>
      <c r="AT8" s="13">
        <v>2</v>
      </c>
      <c r="AU8" s="13">
        <v>5</v>
      </c>
      <c r="AV8" s="13">
        <v>4</v>
      </c>
      <c r="AW8" s="13">
        <v>3</v>
      </c>
      <c r="AX8" s="13">
        <v>4</v>
      </c>
      <c r="AY8" s="13">
        <v>4</v>
      </c>
      <c r="AZ8" s="13">
        <v>5</v>
      </c>
      <c r="BA8" s="13">
        <v>4</v>
      </c>
      <c r="BB8" s="13">
        <v>4</v>
      </c>
      <c r="BC8" s="13">
        <v>2</v>
      </c>
      <c r="BD8" s="13">
        <v>4</v>
      </c>
      <c r="BE8" s="13">
        <v>4</v>
      </c>
      <c r="BF8" s="13">
        <v>2</v>
      </c>
      <c r="BG8" s="13">
        <v>4</v>
      </c>
      <c r="BH8" s="13">
        <v>4</v>
      </c>
      <c r="BI8" s="5">
        <f t="shared" si="0"/>
        <v>215</v>
      </c>
      <c r="BK8" s="5">
        <f t="shared" si="2"/>
        <v>8.11320754716981</v>
      </c>
      <c r="BL8" s="6">
        <f t="shared" si="1"/>
        <v>8.11</v>
      </c>
      <c r="BM8" s="34">
        <f>STDEV(BI8,BI9,BI10,BI11,BI12,BI13,BI14,BI15,BI16,BI17)</f>
        <v>10.5245744173656</v>
      </c>
    </row>
    <row r="9" s="1" customFormat="1" ht="20.4" spans="1:65">
      <c r="A9" s="12" t="s">
        <v>72</v>
      </c>
      <c r="B9" s="13">
        <v>2</v>
      </c>
      <c r="C9" s="13">
        <v>4</v>
      </c>
      <c r="D9" s="13">
        <v>3</v>
      </c>
      <c r="E9" s="13">
        <v>3</v>
      </c>
      <c r="F9" s="13">
        <v>4</v>
      </c>
      <c r="G9" s="13">
        <v>2</v>
      </c>
      <c r="H9" s="13">
        <v>2</v>
      </c>
      <c r="I9" s="13">
        <v>3</v>
      </c>
      <c r="J9" s="13">
        <v>2</v>
      </c>
      <c r="K9" s="13">
        <v>4</v>
      </c>
      <c r="L9" s="13">
        <v>4</v>
      </c>
      <c r="M9" s="13">
        <v>4</v>
      </c>
      <c r="N9" s="13">
        <v>3</v>
      </c>
      <c r="O9" s="13">
        <v>5</v>
      </c>
      <c r="P9" s="13">
        <v>3</v>
      </c>
      <c r="Q9" s="13">
        <v>3</v>
      </c>
      <c r="R9" s="13">
        <v>4</v>
      </c>
      <c r="S9" s="13">
        <v>2</v>
      </c>
      <c r="T9" s="13">
        <v>1</v>
      </c>
      <c r="U9" s="13">
        <v>4</v>
      </c>
      <c r="V9" s="13">
        <v>4</v>
      </c>
      <c r="W9" s="13">
        <v>4</v>
      </c>
      <c r="X9" s="13">
        <v>4</v>
      </c>
      <c r="Y9" s="13">
        <v>4</v>
      </c>
      <c r="Z9" s="13">
        <v>4</v>
      </c>
      <c r="AA9" s="13">
        <v>4</v>
      </c>
      <c r="AB9" s="13">
        <v>3</v>
      </c>
      <c r="AC9" s="13">
        <v>4</v>
      </c>
      <c r="AD9" s="13">
        <v>4</v>
      </c>
      <c r="AE9" s="13">
        <v>4</v>
      </c>
      <c r="AF9" s="13">
        <v>2</v>
      </c>
      <c r="AG9" s="13">
        <v>3</v>
      </c>
      <c r="AH9" s="13">
        <v>3</v>
      </c>
      <c r="AI9" s="13">
        <v>4</v>
      </c>
      <c r="AJ9" s="13">
        <v>2</v>
      </c>
      <c r="AK9" s="13">
        <v>4</v>
      </c>
      <c r="AL9" s="13">
        <v>4</v>
      </c>
      <c r="AM9" s="13">
        <v>4</v>
      </c>
      <c r="AN9" s="13">
        <v>3</v>
      </c>
      <c r="AO9" s="13">
        <v>4</v>
      </c>
      <c r="AP9" s="13">
        <v>4</v>
      </c>
      <c r="AQ9" s="13">
        <v>4</v>
      </c>
      <c r="AR9" s="13">
        <v>4</v>
      </c>
      <c r="AS9" s="13">
        <v>4</v>
      </c>
      <c r="AT9" s="13">
        <v>4</v>
      </c>
      <c r="AU9" s="13">
        <v>4</v>
      </c>
      <c r="AV9" s="13">
        <v>4</v>
      </c>
      <c r="AW9" s="13">
        <v>4</v>
      </c>
      <c r="AX9" s="13">
        <v>2</v>
      </c>
      <c r="AY9" s="13">
        <v>4</v>
      </c>
      <c r="AZ9" s="13">
        <v>4</v>
      </c>
      <c r="BA9" s="13">
        <v>4</v>
      </c>
      <c r="BB9" s="13">
        <v>3</v>
      </c>
      <c r="BC9" s="13">
        <v>2</v>
      </c>
      <c r="BD9" s="13">
        <v>3</v>
      </c>
      <c r="BE9" s="13">
        <v>3</v>
      </c>
      <c r="BF9" s="13">
        <v>4</v>
      </c>
      <c r="BG9" s="13">
        <v>3</v>
      </c>
      <c r="BH9" s="13">
        <v>4</v>
      </c>
      <c r="BI9" s="5">
        <f t="shared" si="0"/>
        <v>202</v>
      </c>
      <c r="BK9" s="5">
        <f t="shared" si="2"/>
        <v>7.62264150943396</v>
      </c>
      <c r="BL9" s="6">
        <f t="shared" si="1"/>
        <v>7.62</v>
      </c>
      <c r="BM9" s="34"/>
    </row>
    <row r="10" s="1" customFormat="1" ht="20.4" spans="1:65">
      <c r="A10" s="12" t="s">
        <v>73</v>
      </c>
      <c r="B10" s="13">
        <v>2</v>
      </c>
      <c r="C10" s="13">
        <v>4</v>
      </c>
      <c r="D10" s="13">
        <v>4</v>
      </c>
      <c r="E10" s="13">
        <v>4</v>
      </c>
      <c r="F10" s="13">
        <v>4</v>
      </c>
      <c r="G10" s="13">
        <v>3</v>
      </c>
      <c r="H10" s="13">
        <v>4</v>
      </c>
      <c r="I10" s="13">
        <v>4</v>
      </c>
      <c r="J10" s="13">
        <v>4</v>
      </c>
      <c r="K10" s="13">
        <v>4</v>
      </c>
      <c r="L10" s="13">
        <v>4</v>
      </c>
      <c r="M10" s="13">
        <v>4</v>
      </c>
      <c r="N10" s="13">
        <v>3</v>
      </c>
      <c r="O10" s="13">
        <v>5</v>
      </c>
      <c r="P10" s="13">
        <v>4</v>
      </c>
      <c r="Q10" s="13">
        <v>4</v>
      </c>
      <c r="R10" s="13">
        <v>4</v>
      </c>
      <c r="S10" s="13">
        <v>2</v>
      </c>
      <c r="T10" s="13">
        <v>2</v>
      </c>
      <c r="U10" s="13">
        <v>4</v>
      </c>
      <c r="V10" s="13">
        <v>3</v>
      </c>
      <c r="W10" s="13">
        <v>4</v>
      </c>
      <c r="X10" s="13">
        <v>3</v>
      </c>
      <c r="Y10" s="13">
        <v>4</v>
      </c>
      <c r="Z10" s="13">
        <v>4</v>
      </c>
      <c r="AA10" s="13">
        <v>3</v>
      </c>
      <c r="AB10" s="13">
        <v>4</v>
      </c>
      <c r="AC10" s="13">
        <v>5</v>
      </c>
      <c r="AD10" s="13">
        <v>5</v>
      </c>
      <c r="AE10" s="13">
        <v>5</v>
      </c>
      <c r="AF10" s="13">
        <v>2</v>
      </c>
      <c r="AG10" s="13">
        <v>4</v>
      </c>
      <c r="AH10" s="13">
        <v>5</v>
      </c>
      <c r="AI10" s="13">
        <v>5</v>
      </c>
      <c r="AJ10" s="13">
        <v>3</v>
      </c>
      <c r="AK10" s="13">
        <v>3</v>
      </c>
      <c r="AL10" s="13">
        <v>1</v>
      </c>
      <c r="AM10" s="13">
        <v>5</v>
      </c>
      <c r="AN10" s="13">
        <v>3</v>
      </c>
      <c r="AO10" s="13">
        <v>4</v>
      </c>
      <c r="AP10" s="13">
        <v>4</v>
      </c>
      <c r="AQ10" s="13">
        <v>5</v>
      </c>
      <c r="AR10" s="13">
        <v>4</v>
      </c>
      <c r="AS10" s="13">
        <v>3</v>
      </c>
      <c r="AT10" s="13">
        <v>4</v>
      </c>
      <c r="AU10" s="13">
        <v>4</v>
      </c>
      <c r="AV10" s="13">
        <v>5</v>
      </c>
      <c r="AW10" s="13">
        <v>5</v>
      </c>
      <c r="AX10" s="13">
        <v>5</v>
      </c>
      <c r="AY10" s="13">
        <v>5</v>
      </c>
      <c r="AZ10" s="13">
        <v>5</v>
      </c>
      <c r="BA10" s="13">
        <v>5</v>
      </c>
      <c r="BB10" s="13">
        <v>2</v>
      </c>
      <c r="BC10" s="13">
        <v>2</v>
      </c>
      <c r="BD10" s="13">
        <v>5</v>
      </c>
      <c r="BE10" s="13">
        <v>5</v>
      </c>
      <c r="BF10" s="13">
        <v>3</v>
      </c>
      <c r="BG10" s="13">
        <v>3</v>
      </c>
      <c r="BH10" s="13">
        <v>5</v>
      </c>
      <c r="BI10" s="5">
        <f t="shared" si="0"/>
        <v>227</v>
      </c>
      <c r="BK10" s="5">
        <f t="shared" si="2"/>
        <v>8.56603773584906</v>
      </c>
      <c r="BL10" s="6">
        <f t="shared" si="1"/>
        <v>8.57</v>
      </c>
      <c r="BM10" s="34"/>
    </row>
    <row r="11" s="1" customFormat="1" ht="20.4" spans="1:65">
      <c r="A11" s="12" t="s">
        <v>74</v>
      </c>
      <c r="B11" s="13">
        <v>2</v>
      </c>
      <c r="C11" s="13">
        <v>4</v>
      </c>
      <c r="D11" s="13">
        <v>4</v>
      </c>
      <c r="E11" s="13">
        <v>4</v>
      </c>
      <c r="F11" s="13">
        <v>3</v>
      </c>
      <c r="G11" s="13">
        <v>3</v>
      </c>
      <c r="H11" s="13">
        <v>4</v>
      </c>
      <c r="I11" s="13">
        <v>4</v>
      </c>
      <c r="J11" s="13">
        <v>4</v>
      </c>
      <c r="K11" s="13">
        <v>4</v>
      </c>
      <c r="L11" s="13">
        <v>3</v>
      </c>
      <c r="M11" s="13">
        <v>3</v>
      </c>
      <c r="N11" s="13">
        <v>3</v>
      </c>
      <c r="O11" s="13">
        <v>5</v>
      </c>
      <c r="P11" s="13">
        <v>3</v>
      </c>
      <c r="Q11" s="13">
        <v>4</v>
      </c>
      <c r="R11" s="13">
        <v>4</v>
      </c>
      <c r="S11" s="13">
        <v>2</v>
      </c>
      <c r="T11" s="13">
        <v>1</v>
      </c>
      <c r="U11" s="13">
        <v>4</v>
      </c>
      <c r="V11" s="13">
        <v>4</v>
      </c>
      <c r="W11" s="13">
        <v>4</v>
      </c>
      <c r="X11" s="13">
        <v>4</v>
      </c>
      <c r="Y11" s="13">
        <v>4</v>
      </c>
      <c r="Z11" s="13">
        <v>4</v>
      </c>
      <c r="AA11" s="13">
        <v>4</v>
      </c>
      <c r="AB11" s="13">
        <v>4</v>
      </c>
      <c r="AC11" s="13">
        <v>5</v>
      </c>
      <c r="AD11" s="13">
        <v>5</v>
      </c>
      <c r="AE11" s="13">
        <v>4</v>
      </c>
      <c r="AF11" s="13">
        <v>3</v>
      </c>
      <c r="AG11" s="13">
        <v>3</v>
      </c>
      <c r="AH11" s="13">
        <v>3</v>
      </c>
      <c r="AI11" s="13">
        <v>3</v>
      </c>
      <c r="AJ11" s="13">
        <v>3</v>
      </c>
      <c r="AK11" s="13">
        <v>4</v>
      </c>
      <c r="AL11" s="13">
        <v>3</v>
      </c>
      <c r="AM11" s="13">
        <v>3</v>
      </c>
      <c r="AN11" s="13">
        <v>3</v>
      </c>
      <c r="AO11" s="13">
        <v>3</v>
      </c>
      <c r="AP11" s="13">
        <v>3</v>
      </c>
      <c r="AQ11" s="13">
        <v>5</v>
      </c>
      <c r="AR11" s="13">
        <v>3</v>
      </c>
      <c r="AS11" s="13">
        <v>3</v>
      </c>
      <c r="AT11" s="13">
        <v>3</v>
      </c>
      <c r="AU11" s="13">
        <v>3</v>
      </c>
      <c r="AV11" s="13">
        <v>3</v>
      </c>
      <c r="AW11" s="13">
        <v>5</v>
      </c>
      <c r="AX11" s="13">
        <v>5</v>
      </c>
      <c r="AY11" s="13">
        <v>4</v>
      </c>
      <c r="AZ11" s="13">
        <v>5</v>
      </c>
      <c r="BA11" s="13">
        <v>5</v>
      </c>
      <c r="BB11" s="13">
        <v>4</v>
      </c>
      <c r="BC11" s="13">
        <v>2</v>
      </c>
      <c r="BD11" s="13">
        <v>4</v>
      </c>
      <c r="BE11" s="13">
        <v>3</v>
      </c>
      <c r="BF11" s="13">
        <v>3</v>
      </c>
      <c r="BG11" s="13">
        <v>3</v>
      </c>
      <c r="BH11" s="13">
        <v>4</v>
      </c>
      <c r="BI11" s="5">
        <f t="shared" si="0"/>
        <v>211</v>
      </c>
      <c r="BK11" s="5">
        <f t="shared" si="2"/>
        <v>7.9622641509434</v>
      </c>
      <c r="BL11" s="6">
        <f t="shared" si="1"/>
        <v>7.96</v>
      </c>
      <c r="BM11" s="34"/>
    </row>
    <row r="12" s="1" customFormat="1" ht="20.4" spans="1:65">
      <c r="A12" s="12" t="s">
        <v>75</v>
      </c>
      <c r="B12" s="13">
        <v>2</v>
      </c>
      <c r="C12" s="13">
        <v>4</v>
      </c>
      <c r="D12" s="13">
        <v>4</v>
      </c>
      <c r="E12" s="13">
        <v>4</v>
      </c>
      <c r="F12" s="13">
        <v>4</v>
      </c>
      <c r="G12" s="13">
        <v>3</v>
      </c>
      <c r="H12" s="13">
        <v>3</v>
      </c>
      <c r="I12" s="13">
        <v>4</v>
      </c>
      <c r="J12" s="13">
        <v>3</v>
      </c>
      <c r="K12" s="13">
        <v>4</v>
      </c>
      <c r="L12" s="13">
        <v>4</v>
      </c>
      <c r="M12" s="13">
        <v>4</v>
      </c>
      <c r="N12" s="13">
        <v>3</v>
      </c>
      <c r="O12" s="13">
        <v>5</v>
      </c>
      <c r="P12" s="13">
        <v>4</v>
      </c>
      <c r="Q12" s="13">
        <v>4</v>
      </c>
      <c r="R12" s="13">
        <v>5</v>
      </c>
      <c r="S12" s="13">
        <v>2</v>
      </c>
      <c r="T12" s="13">
        <v>1</v>
      </c>
      <c r="U12" s="13">
        <v>4</v>
      </c>
      <c r="V12" s="13">
        <v>4</v>
      </c>
      <c r="W12" s="13">
        <v>4</v>
      </c>
      <c r="X12" s="13">
        <v>4</v>
      </c>
      <c r="Y12" s="13">
        <v>4</v>
      </c>
      <c r="Z12" s="13">
        <v>4</v>
      </c>
      <c r="AA12" s="13">
        <v>2</v>
      </c>
      <c r="AB12" s="13">
        <v>4</v>
      </c>
      <c r="AC12" s="13">
        <v>5</v>
      </c>
      <c r="AD12" s="13">
        <v>5</v>
      </c>
      <c r="AE12" s="13">
        <v>5</v>
      </c>
      <c r="AF12" s="13">
        <v>2</v>
      </c>
      <c r="AG12" s="13">
        <v>5</v>
      </c>
      <c r="AH12" s="13">
        <v>5</v>
      </c>
      <c r="AI12" s="13">
        <v>5</v>
      </c>
      <c r="AJ12" s="13">
        <v>3</v>
      </c>
      <c r="AK12" s="13">
        <v>5</v>
      </c>
      <c r="AL12" s="13">
        <v>2</v>
      </c>
      <c r="AM12" s="13">
        <v>5</v>
      </c>
      <c r="AN12" s="13">
        <v>5</v>
      </c>
      <c r="AO12" s="13">
        <v>4</v>
      </c>
      <c r="AP12" s="13">
        <v>2</v>
      </c>
      <c r="AQ12" s="13">
        <v>5</v>
      </c>
      <c r="AR12" s="13">
        <v>2</v>
      </c>
      <c r="AS12" s="13">
        <v>1</v>
      </c>
      <c r="AT12" s="13">
        <v>2</v>
      </c>
      <c r="AU12" s="13">
        <v>5</v>
      </c>
      <c r="AV12" s="13">
        <v>4</v>
      </c>
      <c r="AW12" s="13">
        <v>4</v>
      </c>
      <c r="AX12" s="13">
        <v>2</v>
      </c>
      <c r="AY12" s="13">
        <v>4</v>
      </c>
      <c r="AZ12" s="13">
        <v>4</v>
      </c>
      <c r="BA12" s="13">
        <v>4</v>
      </c>
      <c r="BB12" s="13">
        <v>5</v>
      </c>
      <c r="BC12" s="13">
        <v>1</v>
      </c>
      <c r="BD12" s="13">
        <v>5</v>
      </c>
      <c r="BE12" s="13">
        <v>5</v>
      </c>
      <c r="BF12" s="13">
        <v>3</v>
      </c>
      <c r="BG12" s="13">
        <v>2</v>
      </c>
      <c r="BH12" s="13">
        <v>5</v>
      </c>
      <c r="BI12" s="5">
        <f t="shared" si="0"/>
        <v>218</v>
      </c>
      <c r="BK12" s="5">
        <f t="shared" si="2"/>
        <v>8.22641509433962</v>
      </c>
      <c r="BL12" s="6">
        <f t="shared" si="1"/>
        <v>8.23</v>
      </c>
      <c r="BM12" s="34"/>
    </row>
    <row r="13" s="1" customFormat="1" ht="20.4" spans="1:65">
      <c r="A13" s="12" t="s">
        <v>76</v>
      </c>
      <c r="B13" s="13">
        <v>2</v>
      </c>
      <c r="C13" s="13">
        <v>4</v>
      </c>
      <c r="D13" s="13">
        <v>4</v>
      </c>
      <c r="E13" s="13">
        <v>4</v>
      </c>
      <c r="F13" s="13">
        <v>4</v>
      </c>
      <c r="G13" s="13">
        <v>3</v>
      </c>
      <c r="H13" s="13">
        <v>4</v>
      </c>
      <c r="I13" s="13">
        <v>4</v>
      </c>
      <c r="J13" s="13">
        <v>2</v>
      </c>
      <c r="K13" s="13">
        <v>3</v>
      </c>
      <c r="L13" s="13">
        <v>4</v>
      </c>
      <c r="M13" s="13">
        <v>4</v>
      </c>
      <c r="N13" s="13">
        <v>2</v>
      </c>
      <c r="O13" s="13">
        <v>5</v>
      </c>
      <c r="P13" s="13">
        <v>4</v>
      </c>
      <c r="Q13" s="13">
        <v>4</v>
      </c>
      <c r="R13" s="13">
        <v>4</v>
      </c>
      <c r="S13" s="13">
        <v>2</v>
      </c>
      <c r="T13" s="13">
        <v>2</v>
      </c>
      <c r="U13" s="13">
        <v>4</v>
      </c>
      <c r="V13" s="13">
        <v>3</v>
      </c>
      <c r="W13" s="13">
        <v>4</v>
      </c>
      <c r="X13" s="13">
        <v>2</v>
      </c>
      <c r="Y13" s="13">
        <v>3</v>
      </c>
      <c r="Z13" s="13">
        <v>4</v>
      </c>
      <c r="AA13" s="13">
        <v>4</v>
      </c>
      <c r="AB13" s="13">
        <v>3</v>
      </c>
      <c r="AC13" s="13">
        <v>5</v>
      </c>
      <c r="AD13" s="13">
        <v>5</v>
      </c>
      <c r="AE13" s="13">
        <v>3</v>
      </c>
      <c r="AF13" s="13">
        <v>2</v>
      </c>
      <c r="AG13" s="13">
        <v>3</v>
      </c>
      <c r="AH13" s="13">
        <v>4</v>
      </c>
      <c r="AI13" s="13">
        <v>4</v>
      </c>
      <c r="AJ13" s="13">
        <v>4</v>
      </c>
      <c r="AK13" s="13">
        <v>3</v>
      </c>
      <c r="AL13" s="13">
        <v>2</v>
      </c>
      <c r="AM13" s="13">
        <v>5</v>
      </c>
      <c r="AN13" s="13">
        <v>5</v>
      </c>
      <c r="AO13" s="13">
        <v>3</v>
      </c>
      <c r="AP13" s="13">
        <v>2</v>
      </c>
      <c r="AQ13" s="13">
        <v>5</v>
      </c>
      <c r="AR13" s="13">
        <v>5</v>
      </c>
      <c r="AS13" s="13">
        <v>3</v>
      </c>
      <c r="AT13" s="13">
        <v>5</v>
      </c>
      <c r="AU13" s="13">
        <v>5</v>
      </c>
      <c r="AV13" s="13">
        <v>1</v>
      </c>
      <c r="AW13" s="13">
        <v>5</v>
      </c>
      <c r="AX13" s="13">
        <v>4</v>
      </c>
      <c r="AY13" s="13">
        <v>5</v>
      </c>
      <c r="AZ13" s="13">
        <v>4</v>
      </c>
      <c r="BA13" s="13">
        <v>5</v>
      </c>
      <c r="BB13" s="13">
        <v>2</v>
      </c>
      <c r="BC13" s="13">
        <v>3</v>
      </c>
      <c r="BD13" s="13">
        <v>5</v>
      </c>
      <c r="BE13" s="13">
        <v>4</v>
      </c>
      <c r="BF13" s="13">
        <v>4</v>
      </c>
      <c r="BG13" s="13">
        <v>2</v>
      </c>
      <c r="BH13" s="13">
        <v>5</v>
      </c>
      <c r="BI13" s="5">
        <f t="shared" si="0"/>
        <v>214</v>
      </c>
      <c r="BK13" s="5">
        <f t="shared" si="2"/>
        <v>8.07547169811321</v>
      </c>
      <c r="BL13" s="6">
        <f t="shared" si="1"/>
        <v>8.08</v>
      </c>
      <c r="BM13" s="34"/>
    </row>
    <row r="14" s="1" customFormat="1" ht="20.4" spans="1:65">
      <c r="A14" s="12" t="s">
        <v>77</v>
      </c>
      <c r="B14" s="13">
        <v>2</v>
      </c>
      <c r="C14" s="13">
        <v>4</v>
      </c>
      <c r="D14" s="13">
        <v>4</v>
      </c>
      <c r="E14" s="13">
        <v>4</v>
      </c>
      <c r="F14" s="13">
        <v>4</v>
      </c>
      <c r="G14" s="13">
        <v>3</v>
      </c>
      <c r="H14" s="13">
        <v>3</v>
      </c>
      <c r="I14" s="13">
        <v>3</v>
      </c>
      <c r="J14" s="13">
        <v>3</v>
      </c>
      <c r="K14" s="13">
        <v>4</v>
      </c>
      <c r="L14" s="13">
        <v>4</v>
      </c>
      <c r="M14" s="13">
        <v>4</v>
      </c>
      <c r="N14" s="13">
        <v>2</v>
      </c>
      <c r="O14" s="13">
        <v>5</v>
      </c>
      <c r="P14" s="13">
        <v>4</v>
      </c>
      <c r="Q14" s="13">
        <v>4</v>
      </c>
      <c r="R14" s="13">
        <v>5</v>
      </c>
      <c r="S14" s="13">
        <v>2</v>
      </c>
      <c r="T14" s="13">
        <v>2</v>
      </c>
      <c r="U14" s="13">
        <v>4</v>
      </c>
      <c r="V14" s="13">
        <v>4</v>
      </c>
      <c r="W14" s="13">
        <v>4</v>
      </c>
      <c r="X14" s="13">
        <v>4</v>
      </c>
      <c r="Y14" s="13">
        <v>4</v>
      </c>
      <c r="Z14" s="13">
        <v>4</v>
      </c>
      <c r="AA14" s="13">
        <v>4</v>
      </c>
      <c r="AB14" s="13">
        <v>4</v>
      </c>
      <c r="AC14" s="13">
        <v>4</v>
      </c>
      <c r="AD14" s="13">
        <v>5</v>
      </c>
      <c r="AE14" s="13">
        <v>4</v>
      </c>
      <c r="AF14" s="13">
        <v>2</v>
      </c>
      <c r="AG14" s="13">
        <v>4</v>
      </c>
      <c r="AH14" s="13">
        <v>5</v>
      </c>
      <c r="AI14" s="13">
        <v>5</v>
      </c>
      <c r="AJ14" s="13">
        <v>2</v>
      </c>
      <c r="AK14" s="13">
        <v>3</v>
      </c>
      <c r="AL14" s="13">
        <v>2</v>
      </c>
      <c r="AM14" s="13">
        <v>2</v>
      </c>
      <c r="AN14" s="13">
        <v>2</v>
      </c>
      <c r="AO14" s="13">
        <v>5</v>
      </c>
      <c r="AP14" s="13">
        <v>4</v>
      </c>
      <c r="AQ14" s="13">
        <v>5</v>
      </c>
      <c r="AR14" s="13">
        <v>4</v>
      </c>
      <c r="AS14" s="13">
        <v>4</v>
      </c>
      <c r="AT14" s="13">
        <v>4</v>
      </c>
      <c r="AU14" s="13">
        <v>4</v>
      </c>
      <c r="AV14" s="13">
        <v>4</v>
      </c>
      <c r="AW14" s="13">
        <v>5</v>
      </c>
      <c r="AX14" s="13">
        <v>5</v>
      </c>
      <c r="AY14" s="13">
        <v>3</v>
      </c>
      <c r="AZ14" s="13">
        <v>5</v>
      </c>
      <c r="BA14" s="13">
        <v>4</v>
      </c>
      <c r="BB14" s="13">
        <v>3</v>
      </c>
      <c r="BC14" s="13">
        <v>2</v>
      </c>
      <c r="BD14" s="13">
        <v>5</v>
      </c>
      <c r="BE14" s="13">
        <v>3</v>
      </c>
      <c r="BF14" s="13">
        <v>4</v>
      </c>
      <c r="BG14" s="13">
        <v>3</v>
      </c>
      <c r="BH14" s="13">
        <v>4</v>
      </c>
      <c r="BI14" s="5">
        <f t="shared" si="0"/>
        <v>218</v>
      </c>
      <c r="BK14" s="5">
        <f t="shared" si="2"/>
        <v>8.22641509433962</v>
      </c>
      <c r="BL14" s="6">
        <f t="shared" si="1"/>
        <v>8.23</v>
      </c>
      <c r="BM14" s="34"/>
    </row>
    <row r="15" s="1" customFormat="1" ht="20.4" spans="1:65">
      <c r="A15" s="12" t="s">
        <v>78</v>
      </c>
      <c r="B15" s="13">
        <v>2</v>
      </c>
      <c r="C15" s="13">
        <v>4</v>
      </c>
      <c r="D15" s="13">
        <v>3</v>
      </c>
      <c r="E15" s="13">
        <v>3</v>
      </c>
      <c r="F15" s="13">
        <v>3</v>
      </c>
      <c r="G15" s="13">
        <v>3</v>
      </c>
      <c r="H15" s="13">
        <v>3</v>
      </c>
      <c r="I15" s="13">
        <v>3</v>
      </c>
      <c r="J15" s="13">
        <v>3</v>
      </c>
      <c r="K15" s="13">
        <v>3</v>
      </c>
      <c r="L15" s="13">
        <v>4</v>
      </c>
      <c r="M15" s="13">
        <v>3</v>
      </c>
      <c r="N15" s="13">
        <v>3</v>
      </c>
      <c r="O15" s="13">
        <v>4</v>
      </c>
      <c r="P15" s="13">
        <v>3</v>
      </c>
      <c r="Q15" s="13">
        <v>3</v>
      </c>
      <c r="R15" s="13">
        <v>5</v>
      </c>
      <c r="S15" s="13">
        <v>2</v>
      </c>
      <c r="T15" s="13">
        <v>2</v>
      </c>
      <c r="U15" s="13">
        <v>4</v>
      </c>
      <c r="V15" s="13">
        <v>4</v>
      </c>
      <c r="W15" s="13">
        <v>4</v>
      </c>
      <c r="X15" s="13">
        <v>3</v>
      </c>
      <c r="Y15" s="13">
        <v>3</v>
      </c>
      <c r="Z15" s="13">
        <v>4</v>
      </c>
      <c r="AA15" s="13">
        <v>4</v>
      </c>
      <c r="AB15" s="13">
        <v>3</v>
      </c>
      <c r="AC15" s="13">
        <v>5</v>
      </c>
      <c r="AD15" s="13">
        <v>5</v>
      </c>
      <c r="AE15" s="13">
        <v>4</v>
      </c>
      <c r="AF15" s="13">
        <v>2</v>
      </c>
      <c r="AG15" s="13">
        <v>3</v>
      </c>
      <c r="AH15" s="13">
        <v>3</v>
      </c>
      <c r="AI15" s="13">
        <v>3</v>
      </c>
      <c r="AJ15" s="13">
        <v>3</v>
      </c>
      <c r="AK15" s="13">
        <v>2</v>
      </c>
      <c r="AL15" s="13">
        <v>4</v>
      </c>
      <c r="AM15" s="13">
        <v>4</v>
      </c>
      <c r="AN15" s="13">
        <v>3</v>
      </c>
      <c r="AO15" s="13">
        <v>4</v>
      </c>
      <c r="AP15" s="13">
        <v>2</v>
      </c>
      <c r="AQ15" s="13">
        <v>4</v>
      </c>
      <c r="AR15" s="13">
        <v>4</v>
      </c>
      <c r="AS15" s="13">
        <v>4</v>
      </c>
      <c r="AT15" s="13">
        <v>3</v>
      </c>
      <c r="AU15" s="13">
        <v>4</v>
      </c>
      <c r="AV15" s="13">
        <v>3</v>
      </c>
      <c r="AW15" s="13">
        <v>4</v>
      </c>
      <c r="AX15" s="13">
        <v>3</v>
      </c>
      <c r="AY15" s="13">
        <v>3</v>
      </c>
      <c r="AZ15" s="13">
        <v>5</v>
      </c>
      <c r="BA15" s="13">
        <v>5</v>
      </c>
      <c r="BB15" s="13">
        <v>3</v>
      </c>
      <c r="BC15" s="13">
        <v>2</v>
      </c>
      <c r="BD15" s="13">
        <v>4</v>
      </c>
      <c r="BE15" s="13">
        <v>5</v>
      </c>
      <c r="BF15" s="13">
        <v>3</v>
      </c>
      <c r="BG15" s="13">
        <v>2</v>
      </c>
      <c r="BH15" s="13">
        <v>4</v>
      </c>
      <c r="BI15" s="5">
        <f t="shared" si="0"/>
        <v>200</v>
      </c>
      <c r="BK15" s="5">
        <f t="shared" si="2"/>
        <v>7.54716981132075</v>
      </c>
      <c r="BL15" s="6">
        <f t="shared" si="1"/>
        <v>7.55</v>
      </c>
      <c r="BM15" s="34"/>
    </row>
    <row r="16" s="1" customFormat="1" ht="20.4" spans="1:65">
      <c r="A16" s="12" t="s">
        <v>79</v>
      </c>
      <c r="B16" s="13">
        <v>2</v>
      </c>
      <c r="C16" s="13">
        <v>4</v>
      </c>
      <c r="D16" s="13">
        <v>4</v>
      </c>
      <c r="E16" s="13">
        <v>3</v>
      </c>
      <c r="F16" s="13">
        <v>3</v>
      </c>
      <c r="G16" s="13">
        <v>2</v>
      </c>
      <c r="H16" s="13">
        <v>4</v>
      </c>
      <c r="I16" s="13">
        <v>4</v>
      </c>
      <c r="J16" s="13">
        <v>4</v>
      </c>
      <c r="K16" s="13">
        <v>4</v>
      </c>
      <c r="L16" s="13">
        <v>4</v>
      </c>
      <c r="M16" s="13">
        <v>4</v>
      </c>
      <c r="N16" s="13">
        <v>4</v>
      </c>
      <c r="O16" s="13">
        <v>5</v>
      </c>
      <c r="P16" s="13">
        <v>4</v>
      </c>
      <c r="Q16" s="13">
        <v>4</v>
      </c>
      <c r="R16" s="13">
        <v>5</v>
      </c>
      <c r="S16" s="13">
        <v>2</v>
      </c>
      <c r="T16" s="13">
        <v>2</v>
      </c>
      <c r="U16" s="13">
        <v>4</v>
      </c>
      <c r="V16" s="13">
        <v>4</v>
      </c>
      <c r="W16" s="13">
        <v>4</v>
      </c>
      <c r="X16" s="13">
        <v>4</v>
      </c>
      <c r="Y16" s="13">
        <v>4</v>
      </c>
      <c r="Z16" s="13">
        <v>4</v>
      </c>
      <c r="AA16" s="13">
        <v>4</v>
      </c>
      <c r="AB16" s="13">
        <v>4</v>
      </c>
      <c r="AC16" s="13">
        <v>5</v>
      </c>
      <c r="AD16" s="13">
        <v>4</v>
      </c>
      <c r="AE16" s="13">
        <v>4</v>
      </c>
      <c r="AF16" s="13">
        <v>3</v>
      </c>
      <c r="AG16" s="13">
        <v>4</v>
      </c>
      <c r="AH16" s="13">
        <v>5</v>
      </c>
      <c r="AI16" s="13">
        <v>3</v>
      </c>
      <c r="AJ16" s="13">
        <v>2</v>
      </c>
      <c r="AK16" s="13">
        <v>5</v>
      </c>
      <c r="AL16" s="13">
        <v>4</v>
      </c>
      <c r="AM16" s="13">
        <v>4</v>
      </c>
      <c r="AN16" s="13">
        <v>4</v>
      </c>
      <c r="AO16" s="13">
        <v>4</v>
      </c>
      <c r="AP16" s="13">
        <v>3</v>
      </c>
      <c r="AQ16" s="13">
        <v>5</v>
      </c>
      <c r="AR16" s="13">
        <v>3</v>
      </c>
      <c r="AS16" s="13">
        <v>5</v>
      </c>
      <c r="AT16" s="13">
        <v>4</v>
      </c>
      <c r="AU16" s="13">
        <v>2</v>
      </c>
      <c r="AV16" s="13">
        <v>5</v>
      </c>
      <c r="AW16" s="13">
        <v>4</v>
      </c>
      <c r="AX16" s="13">
        <v>5</v>
      </c>
      <c r="AY16" s="13">
        <v>4</v>
      </c>
      <c r="AZ16" s="13">
        <v>5</v>
      </c>
      <c r="BA16" s="13">
        <v>4</v>
      </c>
      <c r="BB16" s="13">
        <v>4</v>
      </c>
      <c r="BC16" s="13">
        <v>4</v>
      </c>
      <c r="BD16" s="13">
        <v>4</v>
      </c>
      <c r="BE16" s="13">
        <v>4</v>
      </c>
      <c r="BF16" s="13">
        <v>3</v>
      </c>
      <c r="BG16" s="13">
        <v>3</v>
      </c>
      <c r="BH16" s="13">
        <v>5</v>
      </c>
      <c r="BI16" s="5">
        <f t="shared" si="0"/>
        <v>227</v>
      </c>
      <c r="BK16" s="5">
        <f t="shared" si="2"/>
        <v>8.56603773584906</v>
      </c>
      <c r="BL16" s="6">
        <f t="shared" si="1"/>
        <v>8.57</v>
      </c>
      <c r="BM16" s="34"/>
    </row>
    <row r="17" s="1" customFormat="1" ht="20.4" spans="1:65">
      <c r="A17" s="12" t="s">
        <v>80</v>
      </c>
      <c r="B17" s="13">
        <v>2</v>
      </c>
      <c r="C17" s="13">
        <v>4</v>
      </c>
      <c r="D17" s="13">
        <v>3</v>
      </c>
      <c r="E17" s="13">
        <v>3</v>
      </c>
      <c r="F17" s="13">
        <v>3</v>
      </c>
      <c r="G17" s="13">
        <v>2</v>
      </c>
      <c r="H17" s="13">
        <v>2</v>
      </c>
      <c r="I17" s="13">
        <v>3</v>
      </c>
      <c r="J17" s="13">
        <v>3</v>
      </c>
      <c r="K17" s="13">
        <v>4</v>
      </c>
      <c r="L17" s="13">
        <v>4</v>
      </c>
      <c r="M17" s="13">
        <v>3</v>
      </c>
      <c r="N17" s="13">
        <v>3</v>
      </c>
      <c r="O17" s="13">
        <v>5</v>
      </c>
      <c r="P17" s="13">
        <v>3</v>
      </c>
      <c r="Q17" s="13">
        <v>4</v>
      </c>
      <c r="R17" s="13">
        <v>4</v>
      </c>
      <c r="S17" s="13">
        <v>2</v>
      </c>
      <c r="T17" s="13">
        <v>2</v>
      </c>
      <c r="U17" s="13">
        <v>4</v>
      </c>
      <c r="V17" s="13">
        <v>3</v>
      </c>
      <c r="W17" s="13">
        <v>3</v>
      </c>
      <c r="X17" s="13">
        <v>3</v>
      </c>
      <c r="Y17" s="13">
        <v>3</v>
      </c>
      <c r="Z17" s="13">
        <v>3</v>
      </c>
      <c r="AA17" s="13">
        <v>4</v>
      </c>
      <c r="AB17" s="13">
        <v>3</v>
      </c>
      <c r="AC17" s="13">
        <v>5</v>
      </c>
      <c r="AD17" s="13">
        <v>5</v>
      </c>
      <c r="AE17" s="13">
        <v>4</v>
      </c>
      <c r="AF17" s="13">
        <v>2</v>
      </c>
      <c r="AG17" s="13">
        <v>2</v>
      </c>
      <c r="AH17" s="13">
        <v>4</v>
      </c>
      <c r="AI17" s="13">
        <v>4</v>
      </c>
      <c r="AJ17" s="13">
        <v>3</v>
      </c>
      <c r="AK17" s="13">
        <v>1</v>
      </c>
      <c r="AL17" s="13">
        <v>3</v>
      </c>
      <c r="AM17" s="13">
        <v>4</v>
      </c>
      <c r="AN17" s="13">
        <v>2</v>
      </c>
      <c r="AO17" s="13">
        <v>5</v>
      </c>
      <c r="AP17" s="13">
        <v>4</v>
      </c>
      <c r="AQ17" s="13">
        <v>5</v>
      </c>
      <c r="AR17" s="13">
        <v>5</v>
      </c>
      <c r="AS17" s="13">
        <v>4</v>
      </c>
      <c r="AT17" s="13">
        <v>3</v>
      </c>
      <c r="AU17" s="13">
        <v>4</v>
      </c>
      <c r="AV17" s="13">
        <v>2</v>
      </c>
      <c r="AW17" s="13">
        <v>3</v>
      </c>
      <c r="AX17" s="13">
        <v>3</v>
      </c>
      <c r="AY17" s="13">
        <v>2</v>
      </c>
      <c r="AZ17" s="13">
        <v>5</v>
      </c>
      <c r="BA17" s="13">
        <v>5</v>
      </c>
      <c r="BB17" s="13">
        <v>2</v>
      </c>
      <c r="BC17" s="13">
        <v>2</v>
      </c>
      <c r="BD17" s="13">
        <v>5</v>
      </c>
      <c r="BE17" s="13">
        <v>4</v>
      </c>
      <c r="BF17" s="13">
        <v>3</v>
      </c>
      <c r="BG17" s="13">
        <v>3</v>
      </c>
      <c r="BH17" s="13">
        <v>4</v>
      </c>
      <c r="BI17" s="5">
        <f t="shared" si="0"/>
        <v>197</v>
      </c>
      <c r="BJ17" s="1">
        <f>AVERAGE(BI2:BI3,BI8:BI17)</f>
        <v>212.333333333333</v>
      </c>
      <c r="BK17" s="5">
        <f t="shared" si="2"/>
        <v>7.43396226415094</v>
      </c>
      <c r="BL17" s="6">
        <f t="shared" si="1"/>
        <v>7.43</v>
      </c>
      <c r="BM17" s="34"/>
    </row>
    <row r="18" s="2" customFormat="1" ht="20.4" spans="1:65">
      <c r="A18" s="19" t="s">
        <v>81</v>
      </c>
      <c r="B18" s="15">
        <v>2</v>
      </c>
      <c r="C18" s="15">
        <v>4</v>
      </c>
      <c r="D18" s="15">
        <v>3</v>
      </c>
      <c r="E18" s="15">
        <v>3</v>
      </c>
      <c r="F18" s="15">
        <v>2</v>
      </c>
      <c r="G18" s="15">
        <v>2</v>
      </c>
      <c r="H18" s="15">
        <v>1</v>
      </c>
      <c r="I18" s="15">
        <v>1</v>
      </c>
      <c r="J18" s="15">
        <v>4</v>
      </c>
      <c r="K18" s="15">
        <v>2</v>
      </c>
      <c r="L18" s="15">
        <v>1</v>
      </c>
      <c r="M18" s="15">
        <v>3</v>
      </c>
      <c r="N18" s="15">
        <v>4</v>
      </c>
      <c r="O18" s="15">
        <v>2</v>
      </c>
      <c r="P18" s="15">
        <v>1</v>
      </c>
      <c r="Q18" s="15">
        <v>2</v>
      </c>
      <c r="R18" s="15">
        <v>1</v>
      </c>
      <c r="S18" s="15">
        <v>2</v>
      </c>
      <c r="T18" s="15">
        <v>1</v>
      </c>
      <c r="U18" s="15">
        <v>2</v>
      </c>
      <c r="V18" s="15">
        <v>1</v>
      </c>
      <c r="W18" s="15">
        <v>2</v>
      </c>
      <c r="X18" s="15">
        <v>2</v>
      </c>
      <c r="Y18" s="15">
        <v>2</v>
      </c>
      <c r="Z18" s="15">
        <v>2</v>
      </c>
      <c r="AA18" s="15">
        <v>3</v>
      </c>
      <c r="AB18" s="15">
        <v>1</v>
      </c>
      <c r="AC18" s="15">
        <v>3</v>
      </c>
      <c r="AD18" s="15">
        <v>3</v>
      </c>
      <c r="AE18" s="15">
        <v>5</v>
      </c>
      <c r="AF18" s="15">
        <v>1</v>
      </c>
      <c r="AG18" s="15">
        <v>2</v>
      </c>
      <c r="AH18" s="15">
        <v>3</v>
      </c>
      <c r="AI18" s="15">
        <v>3</v>
      </c>
      <c r="AJ18" s="15">
        <v>3</v>
      </c>
      <c r="AK18" s="15">
        <v>3</v>
      </c>
      <c r="AL18" s="15">
        <v>1</v>
      </c>
      <c r="AM18" s="15">
        <v>5</v>
      </c>
      <c r="AN18" s="15">
        <v>1</v>
      </c>
      <c r="AO18" s="15">
        <v>4</v>
      </c>
      <c r="AP18" s="15">
        <v>1</v>
      </c>
      <c r="AQ18" s="15">
        <v>4</v>
      </c>
      <c r="AR18" s="15">
        <v>4</v>
      </c>
      <c r="AS18" s="15">
        <v>3</v>
      </c>
      <c r="AT18" s="15">
        <v>1</v>
      </c>
      <c r="AU18" s="15">
        <v>4</v>
      </c>
      <c r="AV18" s="15">
        <v>5</v>
      </c>
      <c r="AW18" s="15">
        <v>3</v>
      </c>
      <c r="AX18" s="15">
        <v>3</v>
      </c>
      <c r="AY18" s="15">
        <v>3</v>
      </c>
      <c r="AZ18" s="15">
        <v>1</v>
      </c>
      <c r="BA18" s="15">
        <v>5</v>
      </c>
      <c r="BB18" s="15">
        <v>2</v>
      </c>
      <c r="BC18" s="15">
        <v>3</v>
      </c>
      <c r="BD18" s="15">
        <v>3</v>
      </c>
      <c r="BE18" s="15">
        <v>4</v>
      </c>
      <c r="BF18" s="15">
        <v>5</v>
      </c>
      <c r="BG18" s="15">
        <v>4</v>
      </c>
      <c r="BH18" s="15">
        <v>3</v>
      </c>
      <c r="BI18" s="5">
        <f t="shared" si="0"/>
        <v>154</v>
      </c>
      <c r="BK18" s="5">
        <f t="shared" si="2"/>
        <v>5.81132075471698</v>
      </c>
      <c r="BL18" s="6">
        <f t="shared" si="1"/>
        <v>5.81</v>
      </c>
      <c r="BM18" s="35">
        <f>STDEV(BI18:BI27)</f>
        <v>28.1986997336166</v>
      </c>
    </row>
    <row r="19" s="2" customFormat="1" ht="20.4" spans="1:65">
      <c r="A19" s="19" t="s">
        <v>82</v>
      </c>
      <c r="B19" s="15">
        <v>2</v>
      </c>
      <c r="C19" s="15">
        <v>4</v>
      </c>
      <c r="D19" s="15">
        <v>4</v>
      </c>
      <c r="E19" s="15">
        <v>3</v>
      </c>
      <c r="F19" s="15">
        <v>3</v>
      </c>
      <c r="G19" s="15">
        <v>3</v>
      </c>
      <c r="H19" s="15">
        <v>4</v>
      </c>
      <c r="I19" s="15">
        <v>4</v>
      </c>
      <c r="J19" s="15">
        <v>4</v>
      </c>
      <c r="K19" s="15">
        <v>4</v>
      </c>
      <c r="L19" s="15">
        <v>4</v>
      </c>
      <c r="M19" s="15">
        <v>4</v>
      </c>
      <c r="N19" s="15">
        <v>4</v>
      </c>
      <c r="O19" s="15">
        <v>5</v>
      </c>
      <c r="P19" s="15">
        <v>4</v>
      </c>
      <c r="Q19" s="15">
        <v>4</v>
      </c>
      <c r="R19" s="15">
        <v>4</v>
      </c>
      <c r="S19" s="15">
        <v>2</v>
      </c>
      <c r="T19" s="15">
        <v>2</v>
      </c>
      <c r="U19" s="15">
        <v>4</v>
      </c>
      <c r="V19" s="15">
        <v>4</v>
      </c>
      <c r="W19" s="15">
        <v>4</v>
      </c>
      <c r="X19" s="15">
        <v>4</v>
      </c>
      <c r="Y19" s="15">
        <v>4</v>
      </c>
      <c r="Z19" s="15">
        <v>4</v>
      </c>
      <c r="AA19" s="15">
        <v>4</v>
      </c>
      <c r="AB19" s="15">
        <v>4</v>
      </c>
      <c r="AC19" s="15">
        <v>5</v>
      </c>
      <c r="AD19" s="15">
        <v>5</v>
      </c>
      <c r="AE19" s="15">
        <v>4</v>
      </c>
      <c r="AF19" s="15">
        <v>4</v>
      </c>
      <c r="AG19" s="15">
        <v>4</v>
      </c>
      <c r="AH19" s="15">
        <v>4</v>
      </c>
      <c r="AI19" s="15">
        <v>5</v>
      </c>
      <c r="AJ19" s="15">
        <v>3</v>
      </c>
      <c r="AK19" s="15">
        <v>5</v>
      </c>
      <c r="AL19" s="15">
        <v>4</v>
      </c>
      <c r="AM19" s="15">
        <v>3</v>
      </c>
      <c r="AN19" s="15">
        <v>3</v>
      </c>
      <c r="AO19" s="15">
        <v>4</v>
      </c>
      <c r="AP19" s="15">
        <v>3</v>
      </c>
      <c r="AQ19" s="15">
        <v>4</v>
      </c>
      <c r="AR19" s="15">
        <v>2</v>
      </c>
      <c r="AS19" s="15">
        <v>4</v>
      </c>
      <c r="AT19" s="15">
        <v>3</v>
      </c>
      <c r="AU19" s="15">
        <v>4</v>
      </c>
      <c r="AV19" s="15">
        <v>3</v>
      </c>
      <c r="AW19" s="15">
        <v>4</v>
      </c>
      <c r="AX19" s="15">
        <v>3</v>
      </c>
      <c r="AY19" s="15">
        <v>3</v>
      </c>
      <c r="AZ19" s="15">
        <v>4</v>
      </c>
      <c r="BA19" s="15">
        <v>4</v>
      </c>
      <c r="BB19" s="15">
        <v>3</v>
      </c>
      <c r="BC19" s="15">
        <v>3</v>
      </c>
      <c r="BD19" s="15">
        <v>4</v>
      </c>
      <c r="BE19" s="15">
        <v>4</v>
      </c>
      <c r="BF19" s="15">
        <v>3</v>
      </c>
      <c r="BG19" s="15">
        <v>3</v>
      </c>
      <c r="BH19" s="15">
        <v>4</v>
      </c>
      <c r="BI19" s="5">
        <f t="shared" si="0"/>
        <v>218</v>
      </c>
      <c r="BK19" s="5">
        <f t="shared" si="2"/>
        <v>8.22641509433962</v>
      </c>
      <c r="BL19" s="6">
        <f t="shared" si="1"/>
        <v>8.23</v>
      </c>
      <c r="BM19" s="35"/>
    </row>
    <row r="20" s="2" customFormat="1" ht="20.4" spans="1:65">
      <c r="A20" s="19" t="s">
        <v>83</v>
      </c>
      <c r="B20" s="15">
        <v>2</v>
      </c>
      <c r="C20" s="15">
        <v>4</v>
      </c>
      <c r="D20" s="15">
        <v>3</v>
      </c>
      <c r="E20" s="15">
        <v>3</v>
      </c>
      <c r="F20" s="15">
        <v>3</v>
      </c>
      <c r="G20" s="15">
        <v>3</v>
      </c>
      <c r="H20" s="15">
        <v>2</v>
      </c>
      <c r="I20" s="15">
        <v>3</v>
      </c>
      <c r="J20" s="15">
        <v>3</v>
      </c>
      <c r="K20" s="15">
        <v>4</v>
      </c>
      <c r="L20" s="15">
        <v>4</v>
      </c>
      <c r="M20" s="15">
        <v>4</v>
      </c>
      <c r="N20" s="15">
        <v>4</v>
      </c>
      <c r="O20" s="15">
        <v>5</v>
      </c>
      <c r="P20" s="15">
        <v>3</v>
      </c>
      <c r="Q20" s="15">
        <v>3</v>
      </c>
      <c r="R20" s="15">
        <v>5</v>
      </c>
      <c r="S20" s="15">
        <v>2</v>
      </c>
      <c r="T20" s="15">
        <v>2</v>
      </c>
      <c r="U20" s="15">
        <v>4</v>
      </c>
      <c r="V20" s="15">
        <v>3</v>
      </c>
      <c r="W20" s="15">
        <v>4</v>
      </c>
      <c r="X20" s="15">
        <v>3</v>
      </c>
      <c r="Y20" s="15">
        <v>4</v>
      </c>
      <c r="Z20" s="15">
        <v>4</v>
      </c>
      <c r="AA20" s="15">
        <v>3</v>
      </c>
      <c r="AB20" s="15">
        <v>3</v>
      </c>
      <c r="AC20" s="15">
        <v>4</v>
      </c>
      <c r="AD20" s="15">
        <v>3</v>
      </c>
      <c r="AE20" s="15">
        <v>3</v>
      </c>
      <c r="AF20" s="15">
        <v>2</v>
      </c>
      <c r="AG20" s="15">
        <v>3</v>
      </c>
      <c r="AH20" s="15">
        <v>4</v>
      </c>
      <c r="AI20" s="15">
        <v>5</v>
      </c>
      <c r="AJ20" s="15">
        <v>4</v>
      </c>
      <c r="AK20" s="15">
        <v>3</v>
      </c>
      <c r="AL20" s="15">
        <v>4</v>
      </c>
      <c r="AM20" s="15">
        <v>4</v>
      </c>
      <c r="AN20" s="15">
        <v>2</v>
      </c>
      <c r="AO20" s="15">
        <v>4</v>
      </c>
      <c r="AP20" s="15">
        <v>1</v>
      </c>
      <c r="AQ20" s="15">
        <v>5</v>
      </c>
      <c r="AR20" s="15">
        <v>4</v>
      </c>
      <c r="AS20" s="15">
        <v>5</v>
      </c>
      <c r="AT20" s="15">
        <v>3</v>
      </c>
      <c r="AU20" s="15">
        <v>5</v>
      </c>
      <c r="AV20" s="15">
        <v>4</v>
      </c>
      <c r="AW20" s="15">
        <v>5</v>
      </c>
      <c r="AX20" s="15">
        <v>4</v>
      </c>
      <c r="AY20" s="15">
        <v>3</v>
      </c>
      <c r="AZ20" s="15">
        <v>5</v>
      </c>
      <c r="BA20" s="15">
        <v>4</v>
      </c>
      <c r="BB20" s="15">
        <v>3</v>
      </c>
      <c r="BC20" s="15">
        <v>2</v>
      </c>
      <c r="BD20" s="15">
        <v>4</v>
      </c>
      <c r="BE20" s="15">
        <v>5</v>
      </c>
      <c r="BF20" s="15">
        <v>3</v>
      </c>
      <c r="BG20" s="15">
        <v>3</v>
      </c>
      <c r="BH20" s="15">
        <v>5</v>
      </c>
      <c r="BI20" s="5">
        <f t="shared" si="0"/>
        <v>208</v>
      </c>
      <c r="BK20" s="5">
        <f t="shared" si="2"/>
        <v>7.84905660377358</v>
      </c>
      <c r="BL20" s="6">
        <f t="shared" si="1"/>
        <v>7.85</v>
      </c>
      <c r="BM20" s="35"/>
    </row>
    <row r="21" s="2" customFormat="1" ht="20.4" spans="1:65">
      <c r="A21" s="19" t="s">
        <v>84</v>
      </c>
      <c r="B21" s="15">
        <v>2</v>
      </c>
      <c r="C21" s="15">
        <v>4</v>
      </c>
      <c r="D21" s="15">
        <v>3</v>
      </c>
      <c r="E21" s="15">
        <v>3</v>
      </c>
      <c r="F21" s="15">
        <v>4</v>
      </c>
      <c r="G21" s="15">
        <v>4</v>
      </c>
      <c r="H21" s="15">
        <v>3</v>
      </c>
      <c r="I21" s="15">
        <v>1</v>
      </c>
      <c r="J21" s="15">
        <v>2</v>
      </c>
      <c r="K21" s="15">
        <v>2</v>
      </c>
      <c r="L21" s="15">
        <v>3</v>
      </c>
      <c r="M21" s="15">
        <v>3</v>
      </c>
      <c r="N21" s="15">
        <v>1</v>
      </c>
      <c r="O21" s="15">
        <v>5</v>
      </c>
      <c r="P21" s="15">
        <v>2</v>
      </c>
      <c r="Q21" s="15">
        <v>2</v>
      </c>
      <c r="R21" s="15">
        <v>3</v>
      </c>
      <c r="S21" s="15">
        <v>2</v>
      </c>
      <c r="T21" s="15">
        <v>1</v>
      </c>
      <c r="U21" s="15">
        <v>4</v>
      </c>
      <c r="V21" s="15">
        <v>1</v>
      </c>
      <c r="W21" s="15">
        <v>3</v>
      </c>
      <c r="X21" s="15">
        <v>4</v>
      </c>
      <c r="Y21" s="15">
        <v>3</v>
      </c>
      <c r="Z21" s="15">
        <v>4</v>
      </c>
      <c r="AA21" s="15">
        <v>2</v>
      </c>
      <c r="AB21" s="15">
        <v>1</v>
      </c>
      <c r="AC21" s="15">
        <v>5</v>
      </c>
      <c r="AD21" s="15">
        <v>4</v>
      </c>
      <c r="AE21" s="15">
        <v>3</v>
      </c>
      <c r="AF21" s="15">
        <v>2</v>
      </c>
      <c r="AG21" s="15">
        <v>4</v>
      </c>
      <c r="AH21" s="15">
        <v>2</v>
      </c>
      <c r="AI21" s="15">
        <v>3</v>
      </c>
      <c r="AJ21" s="15">
        <v>4</v>
      </c>
      <c r="AK21" s="15">
        <v>1</v>
      </c>
      <c r="AL21" s="15">
        <v>4</v>
      </c>
      <c r="AM21" s="15">
        <v>3</v>
      </c>
      <c r="AN21" s="15">
        <v>3</v>
      </c>
      <c r="AO21" s="15">
        <v>5</v>
      </c>
      <c r="AP21" s="15">
        <v>3</v>
      </c>
      <c r="AQ21" s="15">
        <v>5</v>
      </c>
      <c r="AR21" s="15">
        <v>4</v>
      </c>
      <c r="AS21" s="15">
        <v>2</v>
      </c>
      <c r="AT21" s="15">
        <v>3</v>
      </c>
      <c r="AU21" s="15">
        <v>5</v>
      </c>
      <c r="AV21" s="15">
        <v>3</v>
      </c>
      <c r="AW21" s="15">
        <v>4</v>
      </c>
      <c r="AX21" s="15">
        <v>5</v>
      </c>
      <c r="AY21" s="15">
        <v>4</v>
      </c>
      <c r="AZ21" s="15">
        <v>4</v>
      </c>
      <c r="BA21" s="15">
        <v>5</v>
      </c>
      <c r="BB21" s="15">
        <v>3</v>
      </c>
      <c r="BC21" s="15">
        <v>1</v>
      </c>
      <c r="BD21" s="15">
        <v>4</v>
      </c>
      <c r="BE21" s="15">
        <v>3</v>
      </c>
      <c r="BF21" s="15">
        <v>2</v>
      </c>
      <c r="BG21" s="15">
        <v>4</v>
      </c>
      <c r="BH21" s="15">
        <v>2</v>
      </c>
      <c r="BI21" s="5">
        <f t="shared" si="0"/>
        <v>181</v>
      </c>
      <c r="BK21" s="5">
        <f t="shared" si="2"/>
        <v>6.83018867924528</v>
      </c>
      <c r="BL21" s="6">
        <f t="shared" si="1"/>
        <v>6.83</v>
      </c>
      <c r="BM21" s="35"/>
    </row>
    <row r="22" s="2" customFormat="1" ht="20.4" spans="1:65">
      <c r="A22" s="19" t="s">
        <v>85</v>
      </c>
      <c r="B22" s="15">
        <v>2</v>
      </c>
      <c r="C22" s="15">
        <v>4</v>
      </c>
      <c r="D22" s="15">
        <v>3</v>
      </c>
      <c r="E22" s="15">
        <v>3</v>
      </c>
      <c r="F22" s="15">
        <v>3</v>
      </c>
      <c r="G22" s="15">
        <v>3</v>
      </c>
      <c r="H22" s="15">
        <v>3</v>
      </c>
      <c r="I22" s="15">
        <v>3</v>
      </c>
      <c r="J22" s="15">
        <v>3</v>
      </c>
      <c r="K22" s="15">
        <v>3</v>
      </c>
      <c r="L22" s="15">
        <v>3</v>
      </c>
      <c r="M22" s="15">
        <v>3</v>
      </c>
      <c r="N22" s="15">
        <v>3</v>
      </c>
      <c r="O22" s="15">
        <v>4</v>
      </c>
      <c r="P22" s="15">
        <v>3</v>
      </c>
      <c r="Q22" s="15">
        <v>3</v>
      </c>
      <c r="R22" s="15">
        <v>3</v>
      </c>
      <c r="S22" s="15">
        <v>1</v>
      </c>
      <c r="T22" s="15">
        <v>1</v>
      </c>
      <c r="U22" s="15">
        <v>3</v>
      </c>
      <c r="V22" s="15">
        <v>3</v>
      </c>
      <c r="W22" s="15">
        <v>3</v>
      </c>
      <c r="X22" s="15">
        <v>3</v>
      </c>
      <c r="Y22" s="15">
        <v>3</v>
      </c>
      <c r="Z22" s="15">
        <v>3</v>
      </c>
      <c r="AA22" s="15">
        <v>3</v>
      </c>
      <c r="AB22" s="15">
        <v>2</v>
      </c>
      <c r="AC22" s="15">
        <v>3</v>
      </c>
      <c r="AD22" s="15">
        <v>3</v>
      </c>
      <c r="AE22" s="15">
        <v>3</v>
      </c>
      <c r="AF22" s="15">
        <v>3</v>
      </c>
      <c r="AG22" s="15">
        <v>2</v>
      </c>
      <c r="AH22" s="15">
        <v>3</v>
      </c>
      <c r="AI22" s="15">
        <v>4</v>
      </c>
      <c r="AJ22" s="15">
        <v>5</v>
      </c>
      <c r="AK22" s="15">
        <v>2</v>
      </c>
      <c r="AL22" s="15">
        <v>3</v>
      </c>
      <c r="AM22" s="15">
        <v>3</v>
      </c>
      <c r="AN22" s="15">
        <v>3</v>
      </c>
      <c r="AO22" s="15">
        <v>5</v>
      </c>
      <c r="AP22" s="15">
        <v>3</v>
      </c>
      <c r="AQ22" s="15">
        <v>3</v>
      </c>
      <c r="AR22" s="15">
        <v>3</v>
      </c>
      <c r="AS22" s="15">
        <v>2</v>
      </c>
      <c r="AT22" s="15">
        <v>3</v>
      </c>
      <c r="AU22" s="15">
        <v>4</v>
      </c>
      <c r="AV22" s="15">
        <v>3</v>
      </c>
      <c r="AW22" s="15">
        <v>4</v>
      </c>
      <c r="AX22" s="15">
        <v>4</v>
      </c>
      <c r="AY22" s="15">
        <v>1</v>
      </c>
      <c r="AZ22" s="15">
        <v>3</v>
      </c>
      <c r="BA22" s="15">
        <v>3</v>
      </c>
      <c r="BB22" s="15">
        <v>3</v>
      </c>
      <c r="BC22" s="15">
        <v>3</v>
      </c>
      <c r="BD22" s="15">
        <v>4</v>
      </c>
      <c r="BE22" s="15">
        <v>3</v>
      </c>
      <c r="BF22" s="15">
        <v>2</v>
      </c>
      <c r="BG22" s="15">
        <v>2</v>
      </c>
      <c r="BH22" s="15">
        <v>3</v>
      </c>
      <c r="BI22" s="5">
        <f t="shared" si="0"/>
        <v>175</v>
      </c>
      <c r="BK22" s="5">
        <f t="shared" si="2"/>
        <v>6.60377358490566</v>
      </c>
      <c r="BL22" s="6">
        <f t="shared" si="1"/>
        <v>6.6</v>
      </c>
      <c r="BM22" s="35"/>
    </row>
    <row r="23" s="2" customFormat="1" ht="20.4" spans="1:65">
      <c r="A23" s="19" t="s">
        <v>86</v>
      </c>
      <c r="B23" s="15">
        <v>2</v>
      </c>
      <c r="C23" s="15">
        <v>4</v>
      </c>
      <c r="D23" s="15">
        <v>4</v>
      </c>
      <c r="E23" s="15">
        <v>3</v>
      </c>
      <c r="F23" s="15">
        <v>4</v>
      </c>
      <c r="G23" s="15">
        <v>2</v>
      </c>
      <c r="H23" s="15">
        <v>3</v>
      </c>
      <c r="I23" s="15">
        <v>4</v>
      </c>
      <c r="J23" s="15">
        <v>3</v>
      </c>
      <c r="K23" s="15">
        <v>4</v>
      </c>
      <c r="L23" s="15">
        <v>4</v>
      </c>
      <c r="M23" s="15">
        <v>3</v>
      </c>
      <c r="N23" s="15">
        <v>2</v>
      </c>
      <c r="O23" s="15">
        <v>4</v>
      </c>
      <c r="P23" s="15">
        <v>3</v>
      </c>
      <c r="Q23" s="15">
        <v>3</v>
      </c>
      <c r="R23" s="15">
        <v>4</v>
      </c>
      <c r="S23" s="15">
        <v>2</v>
      </c>
      <c r="T23" s="15">
        <v>2</v>
      </c>
      <c r="U23" s="15">
        <v>3</v>
      </c>
      <c r="V23" s="15">
        <v>3</v>
      </c>
      <c r="W23" s="15">
        <v>3</v>
      </c>
      <c r="X23" s="15">
        <v>4</v>
      </c>
      <c r="Y23" s="15">
        <v>4</v>
      </c>
      <c r="Z23" s="15">
        <v>3</v>
      </c>
      <c r="AA23" s="15">
        <v>4</v>
      </c>
      <c r="AB23" s="15">
        <v>2</v>
      </c>
      <c r="AC23" s="15">
        <v>4</v>
      </c>
      <c r="AD23" s="15">
        <v>4</v>
      </c>
      <c r="AE23" s="15">
        <v>3</v>
      </c>
      <c r="AF23" s="15">
        <v>2</v>
      </c>
      <c r="AG23" s="15">
        <v>4</v>
      </c>
      <c r="AH23" s="15">
        <v>3</v>
      </c>
      <c r="AI23" s="15">
        <v>4</v>
      </c>
      <c r="AJ23" s="15">
        <v>4</v>
      </c>
      <c r="AK23" s="15">
        <v>2</v>
      </c>
      <c r="AL23" s="15">
        <v>3</v>
      </c>
      <c r="AM23" s="15">
        <v>3</v>
      </c>
      <c r="AN23" s="15">
        <v>3</v>
      </c>
      <c r="AO23" s="15">
        <v>3</v>
      </c>
      <c r="AP23" s="15">
        <v>4</v>
      </c>
      <c r="AQ23" s="15">
        <v>4</v>
      </c>
      <c r="AR23" s="15">
        <v>3</v>
      </c>
      <c r="AS23" s="15">
        <v>4</v>
      </c>
      <c r="AT23" s="15">
        <v>3</v>
      </c>
      <c r="AU23" s="15">
        <v>4</v>
      </c>
      <c r="AV23" s="15">
        <v>2</v>
      </c>
      <c r="AW23" s="15">
        <v>3</v>
      </c>
      <c r="AX23" s="15">
        <v>3</v>
      </c>
      <c r="AY23" s="15">
        <v>3</v>
      </c>
      <c r="AZ23" s="15">
        <v>4</v>
      </c>
      <c r="BA23" s="15">
        <v>4</v>
      </c>
      <c r="BB23" s="15">
        <v>3</v>
      </c>
      <c r="BC23" s="15">
        <v>3</v>
      </c>
      <c r="BD23" s="15">
        <v>4</v>
      </c>
      <c r="BE23" s="15">
        <v>4</v>
      </c>
      <c r="BF23" s="15">
        <v>4</v>
      </c>
      <c r="BG23" s="15">
        <v>2</v>
      </c>
      <c r="BH23" s="15">
        <v>3</v>
      </c>
      <c r="BI23" s="5">
        <f t="shared" si="0"/>
        <v>192</v>
      </c>
      <c r="BK23" s="5">
        <f t="shared" si="2"/>
        <v>7.24528301886792</v>
      </c>
      <c r="BL23" s="6">
        <f t="shared" si="1"/>
        <v>7.25</v>
      </c>
      <c r="BM23" s="35"/>
    </row>
    <row r="24" s="2" customFormat="1" ht="20.4" spans="1:65">
      <c r="A24" s="19" t="s">
        <v>87</v>
      </c>
      <c r="B24" s="15">
        <v>2</v>
      </c>
      <c r="C24" s="15">
        <v>4</v>
      </c>
      <c r="D24" s="15">
        <v>3</v>
      </c>
      <c r="E24" s="15">
        <v>3</v>
      </c>
      <c r="F24" s="15">
        <v>4</v>
      </c>
      <c r="G24" s="15">
        <v>4</v>
      </c>
      <c r="H24" s="15">
        <v>3</v>
      </c>
      <c r="I24" s="15">
        <v>3</v>
      </c>
      <c r="J24" s="15">
        <v>3</v>
      </c>
      <c r="K24" s="15">
        <v>3</v>
      </c>
      <c r="L24" s="15">
        <v>3</v>
      </c>
      <c r="M24" s="15">
        <v>4</v>
      </c>
      <c r="N24" s="15">
        <v>4</v>
      </c>
      <c r="O24" s="15">
        <v>5</v>
      </c>
      <c r="P24" s="15">
        <v>4</v>
      </c>
      <c r="Q24" s="15">
        <v>4</v>
      </c>
      <c r="R24" s="15">
        <v>5</v>
      </c>
      <c r="S24" s="15">
        <v>2</v>
      </c>
      <c r="T24" s="15">
        <v>2</v>
      </c>
      <c r="U24" s="15">
        <v>4</v>
      </c>
      <c r="V24" s="15">
        <v>4</v>
      </c>
      <c r="W24" s="15">
        <v>4</v>
      </c>
      <c r="X24" s="15">
        <v>4</v>
      </c>
      <c r="Y24" s="15">
        <v>4</v>
      </c>
      <c r="Z24" s="15">
        <v>4</v>
      </c>
      <c r="AA24" s="15">
        <v>4</v>
      </c>
      <c r="AB24" s="15">
        <v>4</v>
      </c>
      <c r="AC24" s="15">
        <v>5</v>
      </c>
      <c r="AD24" s="15">
        <v>5</v>
      </c>
      <c r="AE24" s="15">
        <v>4</v>
      </c>
      <c r="AF24" s="15">
        <v>4</v>
      </c>
      <c r="AG24" s="15">
        <v>5</v>
      </c>
      <c r="AH24" s="15">
        <v>5</v>
      </c>
      <c r="AI24" s="15">
        <v>5</v>
      </c>
      <c r="AJ24" s="15">
        <v>4</v>
      </c>
      <c r="AK24" s="15">
        <v>3</v>
      </c>
      <c r="AL24" s="15">
        <v>3</v>
      </c>
      <c r="AM24" s="15">
        <v>5</v>
      </c>
      <c r="AN24" s="15">
        <v>4</v>
      </c>
      <c r="AO24" s="15">
        <v>4</v>
      </c>
      <c r="AP24" s="15">
        <v>5</v>
      </c>
      <c r="AQ24" s="15">
        <v>5</v>
      </c>
      <c r="AR24" s="15">
        <v>4</v>
      </c>
      <c r="AS24" s="15">
        <v>5</v>
      </c>
      <c r="AT24" s="15">
        <v>5</v>
      </c>
      <c r="AU24" s="15">
        <v>5</v>
      </c>
      <c r="AV24" s="15">
        <v>3</v>
      </c>
      <c r="AW24" s="15">
        <v>5</v>
      </c>
      <c r="AX24" s="15">
        <v>5</v>
      </c>
      <c r="AY24" s="15">
        <v>5</v>
      </c>
      <c r="AZ24" s="15">
        <v>4</v>
      </c>
      <c r="BA24" s="15">
        <v>4</v>
      </c>
      <c r="BB24" s="15">
        <v>1</v>
      </c>
      <c r="BC24" s="15">
        <v>4</v>
      </c>
      <c r="BD24" s="15">
        <v>4</v>
      </c>
      <c r="BE24" s="15">
        <v>4</v>
      </c>
      <c r="BF24" s="15">
        <v>3</v>
      </c>
      <c r="BG24" s="15">
        <v>3</v>
      </c>
      <c r="BH24" s="15">
        <v>5</v>
      </c>
      <c r="BI24" s="5">
        <f t="shared" si="0"/>
        <v>232</v>
      </c>
      <c r="BK24" s="5">
        <f t="shared" si="2"/>
        <v>8.75471698113208</v>
      </c>
      <c r="BL24" s="6">
        <f t="shared" si="1"/>
        <v>8.75</v>
      </c>
      <c r="BM24" s="35"/>
    </row>
    <row r="25" s="2" customFormat="1" ht="20.4" spans="1:65">
      <c r="A25" s="19" t="s">
        <v>88</v>
      </c>
      <c r="B25" s="20">
        <v>2</v>
      </c>
      <c r="C25" s="20">
        <v>4</v>
      </c>
      <c r="D25" s="20">
        <v>2</v>
      </c>
      <c r="E25" s="20">
        <v>2</v>
      </c>
      <c r="F25" s="20">
        <v>2</v>
      </c>
      <c r="G25" s="20">
        <v>3</v>
      </c>
      <c r="H25" s="20">
        <v>2</v>
      </c>
      <c r="I25" s="20">
        <v>3</v>
      </c>
      <c r="J25" s="20">
        <v>2</v>
      </c>
      <c r="K25" s="20">
        <v>3</v>
      </c>
      <c r="L25" s="20">
        <v>3</v>
      </c>
      <c r="M25" s="20">
        <v>2</v>
      </c>
      <c r="N25" s="20">
        <v>2</v>
      </c>
      <c r="O25" s="20">
        <v>3</v>
      </c>
      <c r="P25" s="20">
        <v>2</v>
      </c>
      <c r="Q25" s="20">
        <v>1</v>
      </c>
      <c r="R25" s="20">
        <v>2</v>
      </c>
      <c r="S25" s="20">
        <v>2</v>
      </c>
      <c r="T25" s="20">
        <v>1</v>
      </c>
      <c r="U25" s="20">
        <v>2</v>
      </c>
      <c r="V25" s="20">
        <v>2</v>
      </c>
      <c r="W25" s="20">
        <v>2</v>
      </c>
      <c r="X25" s="20">
        <v>2</v>
      </c>
      <c r="Y25" s="20">
        <v>2</v>
      </c>
      <c r="Z25" s="20">
        <v>2</v>
      </c>
      <c r="AA25" s="20">
        <v>2</v>
      </c>
      <c r="AB25" s="20">
        <v>1</v>
      </c>
      <c r="AC25" s="20">
        <v>3</v>
      </c>
      <c r="AD25" s="20">
        <v>3</v>
      </c>
      <c r="AE25" s="20">
        <v>3</v>
      </c>
      <c r="AF25" s="20">
        <v>1</v>
      </c>
      <c r="AG25" s="20">
        <v>2</v>
      </c>
      <c r="AH25" s="20">
        <v>1</v>
      </c>
      <c r="AI25" s="20">
        <v>4</v>
      </c>
      <c r="AJ25" s="20">
        <v>3</v>
      </c>
      <c r="AK25" s="20">
        <v>3</v>
      </c>
      <c r="AL25" s="20">
        <v>3</v>
      </c>
      <c r="AM25" s="20">
        <v>2</v>
      </c>
      <c r="AN25" s="20">
        <v>2</v>
      </c>
      <c r="AO25" s="20">
        <v>4</v>
      </c>
      <c r="AP25" s="20">
        <v>2</v>
      </c>
      <c r="AQ25" s="20">
        <v>4</v>
      </c>
      <c r="AR25" s="20">
        <v>3</v>
      </c>
      <c r="AS25" s="20">
        <v>2</v>
      </c>
      <c r="AT25" s="20">
        <v>2</v>
      </c>
      <c r="AU25" s="20">
        <v>4</v>
      </c>
      <c r="AV25" s="20">
        <v>3</v>
      </c>
      <c r="AW25" s="20">
        <v>3</v>
      </c>
      <c r="AX25" s="20">
        <v>3</v>
      </c>
      <c r="AY25" s="20">
        <v>2</v>
      </c>
      <c r="AZ25" s="20">
        <v>4</v>
      </c>
      <c r="BA25" s="20">
        <v>4</v>
      </c>
      <c r="BB25" s="20">
        <v>3</v>
      </c>
      <c r="BC25" s="20">
        <v>2</v>
      </c>
      <c r="BD25" s="20">
        <v>4</v>
      </c>
      <c r="BE25" s="20">
        <v>4</v>
      </c>
      <c r="BF25" s="20">
        <v>4</v>
      </c>
      <c r="BG25" s="20">
        <v>3</v>
      </c>
      <c r="BH25" s="20">
        <v>3</v>
      </c>
      <c r="BI25" s="5">
        <f t="shared" si="0"/>
        <v>151</v>
      </c>
      <c r="BK25" s="5">
        <f t="shared" si="2"/>
        <v>5.69811320754717</v>
      </c>
      <c r="BL25" s="6">
        <f t="shared" si="1"/>
        <v>5.7</v>
      </c>
      <c r="BM25" s="35"/>
    </row>
    <row r="26" s="2" customFormat="1" ht="20.4" spans="1:65">
      <c r="A26" s="19" t="s">
        <v>89</v>
      </c>
      <c r="B26" s="15">
        <v>2</v>
      </c>
      <c r="C26" s="15">
        <v>4</v>
      </c>
      <c r="D26" s="15">
        <v>4</v>
      </c>
      <c r="E26" s="15">
        <v>4</v>
      </c>
      <c r="F26" s="15">
        <v>4</v>
      </c>
      <c r="G26" s="15">
        <v>4</v>
      </c>
      <c r="H26" s="15">
        <v>3</v>
      </c>
      <c r="I26" s="15">
        <v>3</v>
      </c>
      <c r="J26" s="15">
        <v>3</v>
      </c>
      <c r="K26" s="15">
        <v>4</v>
      </c>
      <c r="L26" s="15">
        <v>3</v>
      </c>
      <c r="M26" s="15">
        <v>4</v>
      </c>
      <c r="N26" s="15">
        <v>3</v>
      </c>
      <c r="O26" s="15">
        <v>5</v>
      </c>
      <c r="P26" s="15">
        <v>4</v>
      </c>
      <c r="Q26" s="15">
        <v>4</v>
      </c>
      <c r="R26" s="15">
        <v>4</v>
      </c>
      <c r="S26" s="15">
        <v>2</v>
      </c>
      <c r="T26" s="15">
        <v>2</v>
      </c>
      <c r="U26" s="15">
        <v>4</v>
      </c>
      <c r="V26" s="15">
        <v>3</v>
      </c>
      <c r="W26" s="15">
        <v>4</v>
      </c>
      <c r="X26" s="15">
        <v>4</v>
      </c>
      <c r="Y26" s="15">
        <v>3</v>
      </c>
      <c r="Z26" s="15">
        <v>4</v>
      </c>
      <c r="AA26" s="15">
        <v>3</v>
      </c>
      <c r="AB26" s="15">
        <v>3</v>
      </c>
      <c r="AC26" s="15">
        <v>5</v>
      </c>
      <c r="AD26" s="15">
        <v>5</v>
      </c>
      <c r="AE26" s="15">
        <v>4</v>
      </c>
      <c r="AF26" s="15">
        <v>3</v>
      </c>
      <c r="AG26" s="15">
        <v>4</v>
      </c>
      <c r="AH26" s="15">
        <v>4</v>
      </c>
      <c r="AI26" s="15">
        <v>4</v>
      </c>
      <c r="AJ26" s="15">
        <v>3</v>
      </c>
      <c r="AK26" s="15">
        <v>5</v>
      </c>
      <c r="AL26" s="15">
        <v>3</v>
      </c>
      <c r="AM26" s="15">
        <v>4</v>
      </c>
      <c r="AN26" s="15">
        <v>3</v>
      </c>
      <c r="AO26" s="15">
        <v>4</v>
      </c>
      <c r="AP26" s="15">
        <v>4</v>
      </c>
      <c r="AQ26" s="15">
        <v>5</v>
      </c>
      <c r="AR26" s="15">
        <v>3</v>
      </c>
      <c r="AS26" s="15">
        <v>4</v>
      </c>
      <c r="AT26" s="15">
        <v>4</v>
      </c>
      <c r="AU26" s="15">
        <v>4</v>
      </c>
      <c r="AV26" s="15">
        <v>3</v>
      </c>
      <c r="AW26" s="15">
        <v>4</v>
      </c>
      <c r="AX26" s="15">
        <v>4</v>
      </c>
      <c r="AY26" s="15">
        <v>4</v>
      </c>
      <c r="AZ26" s="15">
        <v>4</v>
      </c>
      <c r="BA26" s="15">
        <v>4</v>
      </c>
      <c r="BB26" s="15">
        <v>3</v>
      </c>
      <c r="BC26" s="15">
        <v>3</v>
      </c>
      <c r="BD26" s="15">
        <v>5</v>
      </c>
      <c r="BE26" s="15">
        <v>3</v>
      </c>
      <c r="BF26" s="15">
        <v>4</v>
      </c>
      <c r="BG26" s="15">
        <v>2</v>
      </c>
      <c r="BH26" s="15">
        <v>4</v>
      </c>
      <c r="BI26" s="5">
        <f t="shared" si="0"/>
        <v>216</v>
      </c>
      <c r="BK26" s="5">
        <f t="shared" si="2"/>
        <v>8.15094339622642</v>
      </c>
      <c r="BL26" s="6">
        <f t="shared" si="1"/>
        <v>8.15</v>
      </c>
      <c r="BM26" s="35"/>
    </row>
    <row r="27" s="2" customFormat="1" ht="20.4" spans="1:65">
      <c r="A27" s="19" t="s">
        <v>90</v>
      </c>
      <c r="B27" s="15">
        <v>1</v>
      </c>
      <c r="C27" s="15">
        <v>2</v>
      </c>
      <c r="D27" s="15">
        <v>3</v>
      </c>
      <c r="E27" s="15">
        <v>4</v>
      </c>
      <c r="F27" s="15">
        <v>2</v>
      </c>
      <c r="G27" s="15">
        <v>3</v>
      </c>
      <c r="H27" s="15">
        <v>2</v>
      </c>
      <c r="I27" s="15">
        <v>2</v>
      </c>
      <c r="J27" s="15">
        <v>3</v>
      </c>
      <c r="K27" s="15">
        <v>3</v>
      </c>
      <c r="L27" s="15">
        <v>3</v>
      </c>
      <c r="M27" s="15">
        <v>4</v>
      </c>
      <c r="N27" s="15">
        <v>1</v>
      </c>
      <c r="O27" s="15">
        <v>3</v>
      </c>
      <c r="P27" s="15">
        <v>2</v>
      </c>
      <c r="Q27" s="15">
        <v>2</v>
      </c>
      <c r="R27" s="15">
        <v>5</v>
      </c>
      <c r="S27" s="15">
        <v>2</v>
      </c>
      <c r="T27" s="15">
        <v>2</v>
      </c>
      <c r="U27" s="15">
        <v>4</v>
      </c>
      <c r="V27" s="15">
        <v>2</v>
      </c>
      <c r="W27" s="15">
        <v>3</v>
      </c>
      <c r="X27" s="15">
        <v>2</v>
      </c>
      <c r="Y27" s="15">
        <v>1</v>
      </c>
      <c r="Z27" s="15">
        <v>3</v>
      </c>
      <c r="AA27" s="15">
        <v>3</v>
      </c>
      <c r="AB27" s="15">
        <v>2</v>
      </c>
      <c r="AC27" s="15">
        <v>3</v>
      </c>
      <c r="AD27" s="15">
        <v>3</v>
      </c>
      <c r="AE27" s="15">
        <v>3</v>
      </c>
      <c r="AF27" s="15">
        <v>1</v>
      </c>
      <c r="AG27" s="15">
        <v>4</v>
      </c>
      <c r="AH27" s="15">
        <v>2</v>
      </c>
      <c r="AI27" s="15">
        <v>3</v>
      </c>
      <c r="AJ27" s="15">
        <v>4</v>
      </c>
      <c r="AK27" s="15">
        <v>3</v>
      </c>
      <c r="AL27" s="15">
        <v>2</v>
      </c>
      <c r="AM27" s="15">
        <v>3</v>
      </c>
      <c r="AN27" s="15">
        <v>2</v>
      </c>
      <c r="AO27" s="15">
        <v>4</v>
      </c>
      <c r="AP27" s="15">
        <v>2</v>
      </c>
      <c r="AQ27" s="15">
        <v>4</v>
      </c>
      <c r="AR27" s="15">
        <v>4</v>
      </c>
      <c r="AS27" s="15">
        <v>5</v>
      </c>
      <c r="AT27" s="15">
        <v>2</v>
      </c>
      <c r="AU27" s="15">
        <v>4</v>
      </c>
      <c r="AV27" s="15">
        <v>3</v>
      </c>
      <c r="AW27" s="15">
        <v>3</v>
      </c>
      <c r="AX27" s="15">
        <v>2</v>
      </c>
      <c r="AY27" s="15">
        <v>2</v>
      </c>
      <c r="AZ27" s="15">
        <v>4</v>
      </c>
      <c r="BA27" s="15">
        <v>4</v>
      </c>
      <c r="BB27" s="15">
        <v>2</v>
      </c>
      <c r="BC27" s="15">
        <v>3</v>
      </c>
      <c r="BD27" s="15">
        <v>5</v>
      </c>
      <c r="BE27" s="15">
        <v>4</v>
      </c>
      <c r="BF27" s="15">
        <v>3</v>
      </c>
      <c r="BG27" s="15">
        <v>3</v>
      </c>
      <c r="BH27" s="15">
        <v>3</v>
      </c>
      <c r="BI27" s="5">
        <f t="shared" si="0"/>
        <v>168</v>
      </c>
      <c r="BJ27" s="2">
        <f>AVERAGE(BI4:BI5,BI18:BI27)</f>
        <v>185.833333333333</v>
      </c>
      <c r="BK27" s="5">
        <f t="shared" si="2"/>
        <v>6.33962264150943</v>
      </c>
      <c r="BL27" s="6">
        <f t="shared" si="1"/>
        <v>6.34</v>
      </c>
      <c r="BM27" s="35"/>
    </row>
    <row r="28" s="3" customFormat="1" ht="20.4" spans="1:65">
      <c r="A28" s="21" t="s">
        <v>91</v>
      </c>
      <c r="B28" s="22">
        <v>2</v>
      </c>
      <c r="C28" s="22">
        <v>4</v>
      </c>
      <c r="D28" s="17">
        <v>4</v>
      </c>
      <c r="E28" s="17">
        <v>4</v>
      </c>
      <c r="F28" s="17">
        <v>4</v>
      </c>
      <c r="G28" s="17">
        <v>4</v>
      </c>
      <c r="H28" s="17">
        <v>4</v>
      </c>
      <c r="I28" s="17">
        <v>4</v>
      </c>
      <c r="J28" s="17">
        <v>4</v>
      </c>
      <c r="K28" s="17">
        <v>4</v>
      </c>
      <c r="L28" s="17">
        <v>4</v>
      </c>
      <c r="M28" s="17">
        <v>4</v>
      </c>
      <c r="N28" s="17">
        <v>4</v>
      </c>
      <c r="O28" s="17">
        <v>5</v>
      </c>
      <c r="P28" s="17">
        <v>4</v>
      </c>
      <c r="Q28" s="17">
        <v>4</v>
      </c>
      <c r="R28" s="17">
        <v>5</v>
      </c>
      <c r="S28" s="17">
        <v>2</v>
      </c>
      <c r="T28" s="17">
        <v>2</v>
      </c>
      <c r="U28" s="17">
        <v>4</v>
      </c>
      <c r="V28" s="17">
        <v>4</v>
      </c>
      <c r="W28" s="17">
        <v>4</v>
      </c>
      <c r="X28" s="17">
        <v>4</v>
      </c>
      <c r="Y28" s="17">
        <v>4</v>
      </c>
      <c r="Z28" s="17">
        <v>4</v>
      </c>
      <c r="AA28" s="17">
        <v>4</v>
      </c>
      <c r="AB28" s="17">
        <v>4</v>
      </c>
      <c r="AC28" s="17">
        <v>4</v>
      </c>
      <c r="AD28" s="17">
        <v>4</v>
      </c>
      <c r="AE28" s="17">
        <v>3</v>
      </c>
      <c r="AF28" s="17">
        <v>2</v>
      </c>
      <c r="AG28" s="17">
        <v>2</v>
      </c>
      <c r="AH28" s="17">
        <v>2</v>
      </c>
      <c r="AI28" s="17">
        <v>2</v>
      </c>
      <c r="AJ28" s="17">
        <v>2</v>
      </c>
      <c r="AK28" s="17">
        <v>2</v>
      </c>
      <c r="AL28" s="17">
        <v>2</v>
      </c>
      <c r="AM28" s="17">
        <v>3</v>
      </c>
      <c r="AN28" s="17">
        <v>3</v>
      </c>
      <c r="AO28" s="17">
        <v>3</v>
      </c>
      <c r="AP28" s="17">
        <v>3</v>
      </c>
      <c r="AQ28" s="17">
        <v>3</v>
      </c>
      <c r="AR28" s="17">
        <v>2</v>
      </c>
      <c r="AS28" s="17">
        <v>3</v>
      </c>
      <c r="AT28" s="17">
        <v>3</v>
      </c>
      <c r="AU28" s="17">
        <v>3</v>
      </c>
      <c r="AV28" s="17">
        <v>3</v>
      </c>
      <c r="AW28" s="17">
        <v>4</v>
      </c>
      <c r="AX28" s="17">
        <v>3</v>
      </c>
      <c r="AY28" s="17">
        <v>3</v>
      </c>
      <c r="AZ28" s="17">
        <v>4</v>
      </c>
      <c r="BA28" s="17">
        <v>4</v>
      </c>
      <c r="BB28" s="17">
        <v>4</v>
      </c>
      <c r="BC28" s="17">
        <v>3</v>
      </c>
      <c r="BD28" s="17">
        <v>3</v>
      </c>
      <c r="BE28" s="17">
        <v>3</v>
      </c>
      <c r="BF28" s="17">
        <v>3</v>
      </c>
      <c r="BG28" s="17">
        <v>3</v>
      </c>
      <c r="BH28" s="17">
        <v>3</v>
      </c>
      <c r="BI28" s="5">
        <f t="shared" si="0"/>
        <v>198</v>
      </c>
      <c r="BK28" s="5">
        <f t="shared" si="2"/>
        <v>7.47169811320755</v>
      </c>
      <c r="BL28" s="6">
        <f t="shared" si="1"/>
        <v>7.47</v>
      </c>
      <c r="BM28" s="36">
        <f>STDEV(BI28:BI36)</f>
        <v>11.8227652339788</v>
      </c>
    </row>
    <row r="29" s="3" customFormat="1" ht="20.4" spans="1:65">
      <c r="A29" s="21" t="s">
        <v>92</v>
      </c>
      <c r="B29" s="17">
        <v>2</v>
      </c>
      <c r="C29" s="17">
        <v>4</v>
      </c>
      <c r="D29" s="17">
        <v>4</v>
      </c>
      <c r="E29" s="17">
        <v>4</v>
      </c>
      <c r="F29" s="17">
        <v>4</v>
      </c>
      <c r="G29" s="17">
        <v>4</v>
      </c>
      <c r="H29" s="17">
        <v>2</v>
      </c>
      <c r="I29" s="17">
        <v>3</v>
      </c>
      <c r="J29" s="17">
        <v>2</v>
      </c>
      <c r="K29" s="17">
        <v>4</v>
      </c>
      <c r="L29" s="17">
        <v>4</v>
      </c>
      <c r="M29" s="17">
        <v>4</v>
      </c>
      <c r="N29" s="17">
        <v>2</v>
      </c>
      <c r="O29" s="17">
        <v>4</v>
      </c>
      <c r="P29" s="17">
        <v>3</v>
      </c>
      <c r="Q29" s="17">
        <v>4</v>
      </c>
      <c r="R29" s="17">
        <v>3</v>
      </c>
      <c r="S29" s="17">
        <v>2</v>
      </c>
      <c r="T29" s="17">
        <v>2</v>
      </c>
      <c r="U29" s="17">
        <v>4</v>
      </c>
      <c r="V29" s="17">
        <v>3</v>
      </c>
      <c r="W29" s="17">
        <v>3</v>
      </c>
      <c r="X29" s="17">
        <v>2</v>
      </c>
      <c r="Y29" s="17">
        <v>2</v>
      </c>
      <c r="Z29" s="17">
        <v>4</v>
      </c>
      <c r="AA29" s="17">
        <v>4</v>
      </c>
      <c r="AB29" s="17">
        <v>2</v>
      </c>
      <c r="AC29" s="17">
        <v>4</v>
      </c>
      <c r="AD29" s="17">
        <v>4</v>
      </c>
      <c r="AE29" s="17">
        <v>4</v>
      </c>
      <c r="AF29" s="17">
        <v>2</v>
      </c>
      <c r="AG29" s="17">
        <v>2</v>
      </c>
      <c r="AH29" s="17">
        <v>3</v>
      </c>
      <c r="AI29" s="17">
        <v>3</v>
      </c>
      <c r="AJ29" s="17">
        <v>2</v>
      </c>
      <c r="AK29" s="17">
        <v>4</v>
      </c>
      <c r="AL29" s="17">
        <v>3</v>
      </c>
      <c r="AM29" s="17">
        <v>4</v>
      </c>
      <c r="AN29" s="17">
        <v>4</v>
      </c>
      <c r="AO29" s="17">
        <v>4</v>
      </c>
      <c r="AP29" s="17">
        <v>3</v>
      </c>
      <c r="AQ29" s="17">
        <v>4</v>
      </c>
      <c r="AR29" s="17">
        <v>3</v>
      </c>
      <c r="AS29" s="17">
        <v>3</v>
      </c>
      <c r="AT29" s="17">
        <v>3</v>
      </c>
      <c r="AU29" s="17">
        <v>4</v>
      </c>
      <c r="AV29" s="17">
        <v>3</v>
      </c>
      <c r="AW29" s="17">
        <v>4</v>
      </c>
      <c r="AX29" s="17">
        <v>3</v>
      </c>
      <c r="AY29" s="17">
        <v>3</v>
      </c>
      <c r="AZ29" s="17">
        <v>4</v>
      </c>
      <c r="BA29" s="17">
        <v>4</v>
      </c>
      <c r="BB29" s="17">
        <v>3</v>
      </c>
      <c r="BC29" s="17">
        <v>2</v>
      </c>
      <c r="BD29" s="17">
        <v>4</v>
      </c>
      <c r="BE29" s="17">
        <v>4</v>
      </c>
      <c r="BF29" s="17">
        <v>3</v>
      </c>
      <c r="BG29" s="17">
        <v>3</v>
      </c>
      <c r="BH29" s="17">
        <v>3</v>
      </c>
      <c r="BI29" s="5">
        <f t="shared" si="0"/>
        <v>191</v>
      </c>
      <c r="BK29" s="5">
        <f t="shared" si="2"/>
        <v>7.20754716981132</v>
      </c>
      <c r="BL29" s="6">
        <f t="shared" si="1"/>
        <v>7.21</v>
      </c>
      <c r="BM29" s="36"/>
    </row>
    <row r="30" s="3" customFormat="1" ht="20.4" spans="1:65">
      <c r="A30" s="21" t="s">
        <v>93</v>
      </c>
      <c r="B30" s="17">
        <v>2</v>
      </c>
      <c r="C30" s="17">
        <v>4</v>
      </c>
      <c r="D30" s="17">
        <v>4</v>
      </c>
      <c r="E30" s="17">
        <v>4</v>
      </c>
      <c r="F30" s="17">
        <v>4</v>
      </c>
      <c r="G30" s="17">
        <v>4</v>
      </c>
      <c r="H30" s="17">
        <v>2</v>
      </c>
      <c r="I30" s="17">
        <v>3</v>
      </c>
      <c r="J30" s="17">
        <v>2</v>
      </c>
      <c r="K30" s="17">
        <v>2</v>
      </c>
      <c r="L30" s="17">
        <v>4</v>
      </c>
      <c r="M30" s="17">
        <v>4</v>
      </c>
      <c r="N30" s="17">
        <v>2</v>
      </c>
      <c r="O30" s="17">
        <v>5</v>
      </c>
      <c r="P30" s="17">
        <v>2</v>
      </c>
      <c r="Q30" s="17">
        <v>3</v>
      </c>
      <c r="R30" s="17">
        <v>4</v>
      </c>
      <c r="S30" s="17">
        <v>2</v>
      </c>
      <c r="T30" s="17">
        <v>2</v>
      </c>
      <c r="U30" s="17">
        <v>4</v>
      </c>
      <c r="V30" s="17">
        <v>3</v>
      </c>
      <c r="W30" s="17">
        <v>3</v>
      </c>
      <c r="X30" s="17">
        <v>3</v>
      </c>
      <c r="Y30" s="17">
        <v>4</v>
      </c>
      <c r="Z30" s="17">
        <v>4</v>
      </c>
      <c r="AA30" s="17">
        <v>4</v>
      </c>
      <c r="AB30" s="17">
        <v>2</v>
      </c>
      <c r="AC30" s="17">
        <v>5</v>
      </c>
      <c r="AD30" s="17">
        <v>5</v>
      </c>
      <c r="AE30" s="17">
        <v>5</v>
      </c>
      <c r="AF30" s="17">
        <v>1</v>
      </c>
      <c r="AG30" s="17">
        <v>4</v>
      </c>
      <c r="AH30" s="17">
        <v>2</v>
      </c>
      <c r="AI30" s="17">
        <v>5</v>
      </c>
      <c r="AJ30" s="17">
        <v>4</v>
      </c>
      <c r="AK30" s="17">
        <v>2</v>
      </c>
      <c r="AL30" s="17">
        <v>3</v>
      </c>
      <c r="AM30" s="17">
        <v>3</v>
      </c>
      <c r="AN30" s="17">
        <v>1</v>
      </c>
      <c r="AO30" s="17">
        <v>5</v>
      </c>
      <c r="AP30" s="17">
        <v>2</v>
      </c>
      <c r="AQ30" s="17">
        <v>5</v>
      </c>
      <c r="AR30" s="17">
        <v>5</v>
      </c>
      <c r="AS30" s="17">
        <v>3</v>
      </c>
      <c r="AT30" s="17">
        <v>3</v>
      </c>
      <c r="AU30" s="17">
        <v>4</v>
      </c>
      <c r="AV30" s="17">
        <v>4</v>
      </c>
      <c r="AW30" s="17">
        <v>4</v>
      </c>
      <c r="AX30" s="17">
        <v>4</v>
      </c>
      <c r="AY30" s="17">
        <v>3</v>
      </c>
      <c r="AZ30" s="17">
        <v>5</v>
      </c>
      <c r="BA30" s="17">
        <v>5</v>
      </c>
      <c r="BB30" s="17">
        <v>2</v>
      </c>
      <c r="BC30" s="17">
        <v>1</v>
      </c>
      <c r="BD30" s="17">
        <v>5</v>
      </c>
      <c r="BE30" s="17">
        <v>5</v>
      </c>
      <c r="BF30" s="17">
        <v>2</v>
      </c>
      <c r="BG30" s="17">
        <v>2</v>
      </c>
      <c r="BH30" s="17">
        <v>5</v>
      </c>
      <c r="BI30" s="5">
        <f t="shared" si="0"/>
        <v>200</v>
      </c>
      <c r="BK30" s="5">
        <f t="shared" si="2"/>
        <v>7.54716981132075</v>
      </c>
      <c r="BL30" s="6">
        <f t="shared" si="1"/>
        <v>7.55</v>
      </c>
      <c r="BM30" s="36"/>
    </row>
    <row r="31" s="3" customFormat="1" ht="20.4" spans="1:65">
      <c r="A31" s="21" t="s">
        <v>94</v>
      </c>
      <c r="B31" s="23">
        <v>2</v>
      </c>
      <c r="C31" s="23">
        <v>4</v>
      </c>
      <c r="D31" s="23">
        <v>4</v>
      </c>
      <c r="E31" s="23">
        <v>4</v>
      </c>
      <c r="F31" s="23">
        <v>4</v>
      </c>
      <c r="G31" s="23">
        <v>4</v>
      </c>
      <c r="H31" s="23">
        <v>3</v>
      </c>
      <c r="I31" s="23">
        <v>3</v>
      </c>
      <c r="J31" s="23">
        <v>3</v>
      </c>
      <c r="K31" s="17"/>
      <c r="L31" s="23">
        <v>4</v>
      </c>
      <c r="M31" s="23">
        <v>4</v>
      </c>
      <c r="N31" s="23">
        <v>4</v>
      </c>
      <c r="O31" s="23">
        <v>5</v>
      </c>
      <c r="P31" s="23">
        <v>3</v>
      </c>
      <c r="Q31" s="23">
        <v>4</v>
      </c>
      <c r="R31" s="23">
        <v>4</v>
      </c>
      <c r="S31" s="23">
        <v>2</v>
      </c>
      <c r="T31" s="23">
        <v>2</v>
      </c>
      <c r="U31" s="23">
        <v>4</v>
      </c>
      <c r="V31" s="23">
        <v>4</v>
      </c>
      <c r="W31" s="23">
        <v>4</v>
      </c>
      <c r="X31" s="23">
        <v>4</v>
      </c>
      <c r="Y31" s="23">
        <v>4</v>
      </c>
      <c r="Z31" s="23">
        <v>4</v>
      </c>
      <c r="AA31" s="23">
        <v>4</v>
      </c>
      <c r="AB31" s="23">
        <v>3</v>
      </c>
      <c r="AC31" s="23">
        <v>5</v>
      </c>
      <c r="AD31" s="23">
        <v>5</v>
      </c>
      <c r="AE31" s="23">
        <v>5</v>
      </c>
      <c r="AF31" s="23">
        <v>3</v>
      </c>
      <c r="AG31" s="23">
        <v>4</v>
      </c>
      <c r="AH31" s="23">
        <v>3</v>
      </c>
      <c r="AI31" s="23">
        <v>4</v>
      </c>
      <c r="AJ31" s="23">
        <v>3</v>
      </c>
      <c r="AK31" s="23">
        <v>3</v>
      </c>
      <c r="AL31" s="23">
        <v>3</v>
      </c>
      <c r="AM31" s="23">
        <v>4</v>
      </c>
      <c r="AN31" s="23">
        <v>2</v>
      </c>
      <c r="AO31" s="23">
        <v>4</v>
      </c>
      <c r="AP31" s="23">
        <v>3</v>
      </c>
      <c r="AQ31" s="23">
        <v>5</v>
      </c>
      <c r="AR31" s="23">
        <v>4</v>
      </c>
      <c r="AS31" s="23">
        <v>4</v>
      </c>
      <c r="AT31" s="23">
        <v>3</v>
      </c>
      <c r="AU31" s="23">
        <v>4</v>
      </c>
      <c r="AV31" s="23">
        <v>4</v>
      </c>
      <c r="AW31" s="23">
        <v>4</v>
      </c>
      <c r="AX31" s="23">
        <v>4</v>
      </c>
      <c r="AY31" s="23">
        <v>3</v>
      </c>
      <c r="AZ31" s="23">
        <v>3</v>
      </c>
      <c r="BA31" s="23">
        <v>4</v>
      </c>
      <c r="BB31" s="23">
        <v>3</v>
      </c>
      <c r="BC31" s="23">
        <v>2</v>
      </c>
      <c r="BD31" s="23">
        <v>5</v>
      </c>
      <c r="BE31" s="23">
        <v>3</v>
      </c>
      <c r="BF31" s="23">
        <v>3</v>
      </c>
      <c r="BG31" s="23">
        <v>3</v>
      </c>
      <c r="BH31" s="23">
        <v>4</v>
      </c>
      <c r="BI31" s="5">
        <f t="shared" si="0"/>
        <v>210</v>
      </c>
      <c r="BK31" s="5">
        <f t="shared" si="2"/>
        <v>7.92452830188679</v>
      </c>
      <c r="BL31" s="6">
        <f t="shared" si="1"/>
        <v>7.92</v>
      </c>
      <c r="BM31" s="36"/>
    </row>
    <row r="32" s="3" customFormat="1" ht="20.4" spans="1:65">
      <c r="A32" s="21" t="s">
        <v>95</v>
      </c>
      <c r="B32" s="17">
        <v>2</v>
      </c>
      <c r="C32" s="17">
        <v>4</v>
      </c>
      <c r="D32" s="17">
        <v>3</v>
      </c>
      <c r="E32" s="17">
        <v>3</v>
      </c>
      <c r="F32" s="17">
        <v>3</v>
      </c>
      <c r="G32" s="17">
        <v>2</v>
      </c>
      <c r="H32" s="17">
        <v>4</v>
      </c>
      <c r="I32" s="17">
        <v>4</v>
      </c>
      <c r="J32" s="17">
        <v>3</v>
      </c>
      <c r="K32" s="17">
        <v>3</v>
      </c>
      <c r="L32" s="17">
        <v>3</v>
      </c>
      <c r="M32" s="17">
        <v>3</v>
      </c>
      <c r="N32" s="17">
        <v>2</v>
      </c>
      <c r="O32" s="17">
        <v>4</v>
      </c>
      <c r="P32" s="17">
        <v>3</v>
      </c>
      <c r="Q32" s="17">
        <v>4</v>
      </c>
      <c r="R32" s="17">
        <v>5</v>
      </c>
      <c r="S32" s="17">
        <v>2</v>
      </c>
      <c r="T32" s="17">
        <v>1</v>
      </c>
      <c r="U32" s="17">
        <v>4</v>
      </c>
      <c r="V32" s="17">
        <v>2</v>
      </c>
      <c r="W32" s="17">
        <v>3</v>
      </c>
      <c r="X32" s="17">
        <v>3</v>
      </c>
      <c r="Y32" s="17">
        <v>2</v>
      </c>
      <c r="Z32" s="17">
        <v>4</v>
      </c>
      <c r="AA32" s="17">
        <v>3</v>
      </c>
      <c r="AB32" s="17">
        <v>2</v>
      </c>
      <c r="AC32" s="17">
        <v>4</v>
      </c>
      <c r="AD32" s="17">
        <v>5</v>
      </c>
      <c r="AE32" s="17">
        <v>4</v>
      </c>
      <c r="AF32" s="17">
        <v>3</v>
      </c>
      <c r="AG32" s="17">
        <v>4</v>
      </c>
      <c r="AH32" s="17">
        <v>4</v>
      </c>
      <c r="AI32" s="17">
        <v>4</v>
      </c>
      <c r="AJ32" s="17">
        <v>4</v>
      </c>
      <c r="AK32" s="17">
        <v>2</v>
      </c>
      <c r="AL32" s="17">
        <v>3</v>
      </c>
      <c r="AM32" s="17">
        <v>4</v>
      </c>
      <c r="AN32" s="17">
        <v>3</v>
      </c>
      <c r="AO32" s="17">
        <v>5</v>
      </c>
      <c r="AP32" s="17">
        <v>3</v>
      </c>
      <c r="AQ32" s="17">
        <v>4</v>
      </c>
      <c r="AR32" s="17">
        <v>4</v>
      </c>
      <c r="AS32" s="17">
        <v>4</v>
      </c>
      <c r="AT32" s="17">
        <v>3</v>
      </c>
      <c r="AU32" s="17">
        <v>4</v>
      </c>
      <c r="AV32" s="17">
        <v>4</v>
      </c>
      <c r="AW32" s="17">
        <v>5</v>
      </c>
      <c r="AX32" s="17">
        <v>4</v>
      </c>
      <c r="AY32" s="17">
        <v>4</v>
      </c>
      <c r="AZ32" s="17">
        <v>4</v>
      </c>
      <c r="BA32" s="17">
        <v>2</v>
      </c>
      <c r="BB32" s="17">
        <v>4</v>
      </c>
      <c r="BC32" s="17">
        <v>3</v>
      </c>
      <c r="BD32" s="17">
        <v>4</v>
      </c>
      <c r="BE32" s="17">
        <v>4</v>
      </c>
      <c r="BF32" s="17">
        <v>3</v>
      </c>
      <c r="BG32" s="17">
        <v>2</v>
      </c>
      <c r="BH32" s="17">
        <v>4</v>
      </c>
      <c r="BI32" s="5">
        <f t="shared" si="0"/>
        <v>199</v>
      </c>
      <c r="BK32" s="5">
        <f t="shared" si="2"/>
        <v>7.50943396226415</v>
      </c>
      <c r="BL32" s="6">
        <f t="shared" si="1"/>
        <v>7.51</v>
      </c>
      <c r="BM32" s="36"/>
    </row>
    <row r="33" s="3" customFormat="1" ht="20.4" spans="1:65">
      <c r="A33" s="21" t="s">
        <v>96</v>
      </c>
      <c r="B33" s="17">
        <v>2</v>
      </c>
      <c r="C33" s="17">
        <v>4</v>
      </c>
      <c r="D33" s="17">
        <v>4</v>
      </c>
      <c r="E33" s="17">
        <v>4</v>
      </c>
      <c r="F33" s="17">
        <v>4</v>
      </c>
      <c r="G33" s="17">
        <v>4</v>
      </c>
      <c r="H33" s="17">
        <v>4</v>
      </c>
      <c r="I33" s="17">
        <v>4</v>
      </c>
      <c r="J33" s="17">
        <v>3</v>
      </c>
      <c r="K33" s="17">
        <v>4</v>
      </c>
      <c r="L33" s="17">
        <v>4</v>
      </c>
      <c r="M33" s="17">
        <v>4</v>
      </c>
      <c r="N33" s="17">
        <v>4</v>
      </c>
      <c r="O33" s="17">
        <v>5</v>
      </c>
      <c r="P33" s="17">
        <v>4</v>
      </c>
      <c r="Q33" s="17">
        <v>4</v>
      </c>
      <c r="R33" s="17">
        <v>4</v>
      </c>
      <c r="S33" s="17">
        <v>2</v>
      </c>
      <c r="T33" s="17">
        <v>2</v>
      </c>
      <c r="U33" s="17">
        <v>4</v>
      </c>
      <c r="V33" s="17">
        <v>4</v>
      </c>
      <c r="W33" s="17">
        <v>4</v>
      </c>
      <c r="X33" s="17">
        <v>4</v>
      </c>
      <c r="Y33" s="17">
        <v>4</v>
      </c>
      <c r="Z33" s="17">
        <v>4</v>
      </c>
      <c r="AA33" s="17">
        <v>4</v>
      </c>
      <c r="AB33" s="17">
        <v>4</v>
      </c>
      <c r="AC33" s="17">
        <v>5</v>
      </c>
      <c r="AD33" s="17">
        <v>4</v>
      </c>
      <c r="AE33" s="17">
        <v>3</v>
      </c>
      <c r="AF33" s="17">
        <v>2</v>
      </c>
      <c r="AG33" s="17">
        <v>3</v>
      </c>
      <c r="AH33" s="17">
        <v>3</v>
      </c>
      <c r="AI33" s="17">
        <v>5</v>
      </c>
      <c r="AJ33" s="17">
        <v>3</v>
      </c>
      <c r="AK33" s="17">
        <v>4</v>
      </c>
      <c r="AL33" s="17">
        <v>3</v>
      </c>
      <c r="AM33" s="17">
        <v>3</v>
      </c>
      <c r="AN33" s="17">
        <v>3</v>
      </c>
      <c r="AO33" s="17">
        <v>3</v>
      </c>
      <c r="AP33" s="17">
        <v>3</v>
      </c>
      <c r="AQ33" s="17">
        <v>5</v>
      </c>
      <c r="AR33" s="17">
        <v>3</v>
      </c>
      <c r="AS33" s="17">
        <v>4</v>
      </c>
      <c r="AT33" s="17">
        <v>3</v>
      </c>
      <c r="AU33" s="17">
        <v>4</v>
      </c>
      <c r="AV33" s="17">
        <v>4</v>
      </c>
      <c r="AW33" s="17">
        <v>5</v>
      </c>
      <c r="AX33" s="17">
        <v>5</v>
      </c>
      <c r="AY33" s="17">
        <v>4</v>
      </c>
      <c r="AZ33" s="17">
        <v>3</v>
      </c>
      <c r="BA33" s="17">
        <v>5</v>
      </c>
      <c r="BB33" s="17">
        <v>3</v>
      </c>
      <c r="BC33" s="17">
        <v>3</v>
      </c>
      <c r="BD33" s="17">
        <v>4</v>
      </c>
      <c r="BE33" s="17">
        <v>4</v>
      </c>
      <c r="BF33" s="17">
        <v>4</v>
      </c>
      <c r="BG33" s="17">
        <v>2</v>
      </c>
      <c r="BH33" s="17">
        <v>5</v>
      </c>
      <c r="BI33" s="5">
        <f t="shared" si="0"/>
        <v>219</v>
      </c>
      <c r="BK33" s="5">
        <f t="shared" si="2"/>
        <v>8.26415094339623</v>
      </c>
      <c r="BL33" s="6">
        <f t="shared" si="1"/>
        <v>8.26</v>
      </c>
      <c r="BM33" s="36"/>
    </row>
    <row r="34" s="3" customFormat="1" ht="20.4" spans="1:65">
      <c r="A34" s="21" t="s">
        <v>97</v>
      </c>
      <c r="B34" s="17">
        <v>2</v>
      </c>
      <c r="C34" s="17">
        <v>4</v>
      </c>
      <c r="D34" s="17">
        <v>3</v>
      </c>
      <c r="E34" s="17">
        <v>3</v>
      </c>
      <c r="F34" s="17">
        <v>4</v>
      </c>
      <c r="G34" s="17">
        <v>3</v>
      </c>
      <c r="H34" s="17">
        <v>3</v>
      </c>
      <c r="I34" s="17">
        <v>4</v>
      </c>
      <c r="J34" s="17">
        <v>3</v>
      </c>
      <c r="K34" s="17"/>
      <c r="L34" s="17">
        <v>4</v>
      </c>
      <c r="M34" s="17">
        <v>4</v>
      </c>
      <c r="N34" s="17">
        <v>4</v>
      </c>
      <c r="O34" s="17">
        <v>5</v>
      </c>
      <c r="P34" s="17">
        <v>4</v>
      </c>
      <c r="Q34" s="17">
        <v>4</v>
      </c>
      <c r="R34" s="28">
        <v>4</v>
      </c>
      <c r="S34" s="17">
        <v>2</v>
      </c>
      <c r="T34" s="17">
        <v>2</v>
      </c>
      <c r="U34" s="17">
        <v>4</v>
      </c>
      <c r="V34" s="17">
        <v>4</v>
      </c>
      <c r="W34" s="17">
        <v>4</v>
      </c>
      <c r="X34" s="17">
        <v>4</v>
      </c>
      <c r="Y34" s="17">
        <v>4</v>
      </c>
      <c r="Z34" s="17">
        <v>4</v>
      </c>
      <c r="AA34" s="17">
        <v>4</v>
      </c>
      <c r="AB34" s="17">
        <v>4</v>
      </c>
      <c r="AC34" s="17">
        <v>5</v>
      </c>
      <c r="AD34" s="17">
        <v>4</v>
      </c>
      <c r="AE34" s="17">
        <v>4</v>
      </c>
      <c r="AF34" s="17">
        <v>3</v>
      </c>
      <c r="AG34" s="17">
        <v>5</v>
      </c>
      <c r="AH34" s="17">
        <v>3</v>
      </c>
      <c r="AI34" s="17">
        <v>5</v>
      </c>
      <c r="AJ34" s="17">
        <v>4</v>
      </c>
      <c r="AK34" s="17">
        <v>3</v>
      </c>
      <c r="AL34" s="17">
        <v>3</v>
      </c>
      <c r="AM34" s="17">
        <v>3</v>
      </c>
      <c r="AN34" s="17">
        <v>3</v>
      </c>
      <c r="AO34" s="17">
        <v>4</v>
      </c>
      <c r="AP34" s="17">
        <v>3</v>
      </c>
      <c r="AQ34" s="17">
        <v>5</v>
      </c>
      <c r="AR34" s="17">
        <v>2</v>
      </c>
      <c r="AS34" s="17">
        <v>2</v>
      </c>
      <c r="AT34" s="17">
        <v>4</v>
      </c>
      <c r="AU34" s="17">
        <v>5</v>
      </c>
      <c r="AV34" s="17">
        <v>3</v>
      </c>
      <c r="AW34" s="17">
        <v>4</v>
      </c>
      <c r="AX34" s="17">
        <v>4</v>
      </c>
      <c r="AY34" s="17">
        <v>3</v>
      </c>
      <c r="AZ34" s="17">
        <v>4</v>
      </c>
      <c r="BA34" s="17">
        <v>5</v>
      </c>
      <c r="BB34" s="17">
        <v>3</v>
      </c>
      <c r="BC34" s="17">
        <v>2</v>
      </c>
      <c r="BD34" s="17">
        <v>4</v>
      </c>
      <c r="BE34" s="17">
        <v>3</v>
      </c>
      <c r="BF34" s="17">
        <v>3</v>
      </c>
      <c r="BG34" s="17">
        <v>3</v>
      </c>
      <c r="BH34" s="17">
        <v>5</v>
      </c>
      <c r="BI34" s="5">
        <f t="shared" si="0"/>
        <v>210</v>
      </c>
      <c r="BK34" s="5">
        <f t="shared" si="2"/>
        <v>7.92452830188679</v>
      </c>
      <c r="BL34" s="6">
        <f t="shared" si="1"/>
        <v>7.92</v>
      </c>
      <c r="BM34" s="36"/>
    </row>
    <row r="35" s="3" customFormat="1" ht="20.4" spans="1:65">
      <c r="A35" s="21" t="s">
        <v>98</v>
      </c>
      <c r="B35" s="17">
        <v>2</v>
      </c>
      <c r="C35" s="17">
        <v>4</v>
      </c>
      <c r="D35" s="17">
        <v>3</v>
      </c>
      <c r="E35" s="17">
        <v>3</v>
      </c>
      <c r="F35" s="17">
        <v>4</v>
      </c>
      <c r="G35" s="17">
        <v>4</v>
      </c>
      <c r="H35" s="17">
        <v>4</v>
      </c>
      <c r="I35" s="17">
        <v>4</v>
      </c>
      <c r="J35" s="17">
        <v>2</v>
      </c>
      <c r="K35" s="17">
        <v>4</v>
      </c>
      <c r="L35" s="17">
        <v>4</v>
      </c>
      <c r="M35" s="17">
        <v>4</v>
      </c>
      <c r="N35" s="17">
        <v>4</v>
      </c>
      <c r="O35" s="17">
        <v>5</v>
      </c>
      <c r="P35" s="17">
        <v>4</v>
      </c>
      <c r="Q35" s="17">
        <v>4</v>
      </c>
      <c r="R35" s="17">
        <v>5</v>
      </c>
      <c r="S35" s="17">
        <v>2</v>
      </c>
      <c r="T35" s="17">
        <v>2</v>
      </c>
      <c r="U35" s="17">
        <v>4</v>
      </c>
      <c r="V35" s="17">
        <v>4</v>
      </c>
      <c r="W35" s="17">
        <v>4</v>
      </c>
      <c r="X35" s="17">
        <v>4</v>
      </c>
      <c r="Y35" s="17">
        <v>4</v>
      </c>
      <c r="Z35" s="17">
        <v>4</v>
      </c>
      <c r="AA35" s="17">
        <v>4</v>
      </c>
      <c r="AB35" s="17">
        <v>4</v>
      </c>
      <c r="AC35" s="17">
        <v>5</v>
      </c>
      <c r="AD35" s="17">
        <v>5</v>
      </c>
      <c r="AE35" s="17">
        <v>5</v>
      </c>
      <c r="AF35" s="17">
        <v>3</v>
      </c>
      <c r="AG35" s="17">
        <v>3</v>
      </c>
      <c r="AH35" s="17">
        <v>3</v>
      </c>
      <c r="AI35" s="17">
        <v>5</v>
      </c>
      <c r="AJ35" s="17">
        <v>3</v>
      </c>
      <c r="AK35" s="17">
        <v>5</v>
      </c>
      <c r="AL35" s="17">
        <v>3</v>
      </c>
      <c r="AM35" s="17">
        <v>4</v>
      </c>
      <c r="AN35" s="17">
        <v>3</v>
      </c>
      <c r="AO35" s="17">
        <v>5</v>
      </c>
      <c r="AP35" s="17">
        <v>4</v>
      </c>
      <c r="AQ35" s="17">
        <v>5</v>
      </c>
      <c r="AR35" s="17">
        <v>3</v>
      </c>
      <c r="AS35" s="17">
        <v>5</v>
      </c>
      <c r="AT35" s="17">
        <v>3</v>
      </c>
      <c r="AU35" s="17">
        <v>3</v>
      </c>
      <c r="AV35" s="17">
        <v>4</v>
      </c>
      <c r="AW35" s="17">
        <v>5</v>
      </c>
      <c r="AX35" s="17">
        <v>5</v>
      </c>
      <c r="AY35" s="17">
        <v>4</v>
      </c>
      <c r="AZ35" s="17">
        <v>4</v>
      </c>
      <c r="BA35" s="17">
        <v>5</v>
      </c>
      <c r="BB35" s="17">
        <v>3</v>
      </c>
      <c r="BC35" s="17">
        <v>3</v>
      </c>
      <c r="BD35" s="17">
        <v>5</v>
      </c>
      <c r="BE35" s="17">
        <v>5</v>
      </c>
      <c r="BF35" s="17">
        <v>3</v>
      </c>
      <c r="BG35" s="17">
        <v>3</v>
      </c>
      <c r="BH35" s="17">
        <v>5</v>
      </c>
      <c r="BI35" s="5">
        <f t="shared" si="0"/>
        <v>229</v>
      </c>
      <c r="BK35" s="5">
        <f t="shared" si="2"/>
        <v>8.64150943396226</v>
      </c>
      <c r="BL35" s="6">
        <f t="shared" si="1"/>
        <v>8.64</v>
      </c>
      <c r="BM35" s="36"/>
    </row>
    <row r="36" s="3" customFormat="1" ht="20.4" spans="1:65">
      <c r="A36" s="21" t="s">
        <v>99</v>
      </c>
      <c r="B36" s="17">
        <v>2</v>
      </c>
      <c r="C36" s="17">
        <v>4</v>
      </c>
      <c r="D36" s="17">
        <v>4</v>
      </c>
      <c r="E36" s="17">
        <v>3</v>
      </c>
      <c r="F36" s="17">
        <v>3</v>
      </c>
      <c r="G36" s="17">
        <v>3</v>
      </c>
      <c r="H36" s="17">
        <v>3</v>
      </c>
      <c r="I36" s="17">
        <v>4</v>
      </c>
      <c r="J36" s="17">
        <v>3</v>
      </c>
      <c r="K36" s="17">
        <v>3</v>
      </c>
      <c r="L36" s="17">
        <v>4</v>
      </c>
      <c r="M36" s="17">
        <v>3</v>
      </c>
      <c r="N36" s="17">
        <v>4</v>
      </c>
      <c r="O36" s="17">
        <v>5</v>
      </c>
      <c r="P36" s="17">
        <v>4</v>
      </c>
      <c r="Q36" s="17">
        <v>4</v>
      </c>
      <c r="R36" s="17">
        <v>4</v>
      </c>
      <c r="S36" s="17">
        <v>2</v>
      </c>
      <c r="T36" s="17">
        <v>2</v>
      </c>
      <c r="U36" s="17">
        <v>4</v>
      </c>
      <c r="V36" s="17">
        <v>4</v>
      </c>
      <c r="W36" s="17">
        <v>4</v>
      </c>
      <c r="X36" s="17">
        <v>4</v>
      </c>
      <c r="Y36" s="17">
        <v>4</v>
      </c>
      <c r="Z36" s="17">
        <v>4</v>
      </c>
      <c r="AA36" s="17">
        <v>4</v>
      </c>
      <c r="AB36" s="17">
        <v>4</v>
      </c>
      <c r="AC36" s="17">
        <v>5</v>
      </c>
      <c r="AD36" s="17">
        <v>5</v>
      </c>
      <c r="AE36" s="17">
        <v>3</v>
      </c>
      <c r="AF36" s="17">
        <v>2</v>
      </c>
      <c r="AG36" s="17">
        <v>3</v>
      </c>
      <c r="AH36" s="17">
        <v>5</v>
      </c>
      <c r="AI36" s="17">
        <v>4</v>
      </c>
      <c r="AJ36" s="17">
        <v>3</v>
      </c>
      <c r="AK36" s="17">
        <v>3</v>
      </c>
      <c r="AL36" s="17">
        <v>3</v>
      </c>
      <c r="AM36" s="17">
        <v>4</v>
      </c>
      <c r="AN36" s="17">
        <v>2</v>
      </c>
      <c r="AO36" s="17">
        <v>4</v>
      </c>
      <c r="AP36" s="17">
        <v>5</v>
      </c>
      <c r="AQ36" s="17">
        <v>5</v>
      </c>
      <c r="AR36" s="17">
        <v>3</v>
      </c>
      <c r="AS36" s="17">
        <v>2</v>
      </c>
      <c r="AT36" s="17">
        <v>4</v>
      </c>
      <c r="AU36" s="17">
        <v>4</v>
      </c>
      <c r="AV36" s="17">
        <v>3</v>
      </c>
      <c r="AW36" s="17">
        <v>4</v>
      </c>
      <c r="AX36" s="17">
        <v>5</v>
      </c>
      <c r="AY36" s="17">
        <v>4</v>
      </c>
      <c r="AZ36" s="17">
        <v>5</v>
      </c>
      <c r="BA36" s="17">
        <v>4</v>
      </c>
      <c r="BB36" s="17">
        <v>2</v>
      </c>
      <c r="BC36" s="17">
        <v>2</v>
      </c>
      <c r="BD36" s="17">
        <v>4</v>
      </c>
      <c r="BE36" s="17">
        <v>4</v>
      </c>
      <c r="BF36" s="17">
        <v>3</v>
      </c>
      <c r="BG36" s="17">
        <v>3</v>
      </c>
      <c r="BH36" s="17">
        <v>4</v>
      </c>
      <c r="BI36" s="5">
        <f t="shared" si="0"/>
        <v>212</v>
      </c>
      <c r="BJ36" s="3">
        <f>AVERAGE(BI28:BI36)</f>
        <v>207.555555555556</v>
      </c>
      <c r="BK36" s="5">
        <f t="shared" si="2"/>
        <v>8</v>
      </c>
      <c r="BL36" s="6">
        <f t="shared" si="1"/>
        <v>8</v>
      </c>
      <c r="BM36" s="36"/>
    </row>
  </sheetData>
  <mergeCells count="3">
    <mergeCell ref="BM8:BM17"/>
    <mergeCell ref="BM18:BM27"/>
    <mergeCell ref="BM28:BM36"/>
  </mergeCells>
  <dataValidations count="8">
    <dataValidation type="list" allowBlank="1" showErrorMessage="1" sqref="B7 T7">
      <formula1>"A,B"</formula1>
    </dataValidation>
    <dataValidation type="list" allowBlank="1" showErrorMessage="1" sqref="C7:N7 P7:Q7 U7:AB7">
      <formula1>"A,B,C,D"</formula1>
    </dataValidation>
    <dataValidation type="list" allowBlank="1" showErrorMessage="1" sqref="O7 R7 AC7:BH7">
      <formula1>"A,B,C,D,E"</formula1>
    </dataValidation>
    <dataValidation type="list" allowBlank="1" showErrorMessage="1" sqref="S7">
      <formula1>"A,B,C"</formula1>
    </dataValidation>
    <dataValidation type="list" allowBlank="1" showInputMessage="1" showErrorMessage="1" sqref="B2:B6 B8:B13 B15:B24 B26:B36 T2:T6 T8:T13 T15:T24 T26:T36">
      <formula1>"A,B"</formula1>
    </dataValidation>
    <dataValidation type="list" allowBlank="1" showInputMessage="1" showErrorMessage="1" sqref="O2:O6 O8:O13 O15:O24 O26:O36 R2:R6 R8:R13 R15:R24 R26:R36 AC2:BH6 AC8:BH13 AC15:BH24 AC26:BH36">
      <formula1>"A,B,C,D,E"</formula1>
    </dataValidation>
    <dataValidation type="list" allowBlank="1" showInputMessage="1" showErrorMessage="1" sqref="S2:S6 S8:S13 S15:S24 S26:S36">
      <formula1>"A,B,C"</formula1>
    </dataValidation>
    <dataValidation type="list" allowBlank="1" showInputMessage="1" showErrorMessage="1" sqref="C8:N13 P8:Q13 P2:Q6 U2:AB6 C26:N36 P26:Q36 U8:AB13 U15:AB24 C15:N24 P15:Q24 C2:N6 U26:AB36">
      <formula1>"A,B,C,D"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2015-06-05T18:19:00Z</dcterms:created>
  <dcterms:modified xsi:type="dcterms:W3CDTF">2024-10-19T11:10:28Z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2582F7E0291A44F9A36162031E664819_12</vt:lpwstr>
  </property>
  <property fmtid="{D5CDD505-2E9C-101B-9397-08002B2CF9AE}" pid="3" name="KSOProductBuildVer">
    <vt:lpwstr>2052-12.1.0.17857</vt:lpwstr>
  </property>
</Properties>
</file>